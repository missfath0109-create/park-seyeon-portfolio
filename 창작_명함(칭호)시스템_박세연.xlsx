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과제\창작\"/>
    </mc:Choice>
  </mc:AlternateContent>
  <xr:revisionPtr revIDLastSave="0" documentId="13_ncr:1_{8861944A-EF2D-44F1-A965-63DD087C029C}" xr6:coauthVersionLast="47" xr6:coauthVersionMax="47" xr10:uidLastSave="{00000000-0000-0000-0000-000000000000}"/>
  <bookViews>
    <workbookView xWindow="28680" yWindow="-120" windowWidth="29040" windowHeight="15720" tabRatio="785" xr2:uid="{1EAC3BB2-02FA-4E4F-B2D5-35E067F8FE07}"/>
  </bookViews>
  <sheets>
    <sheet name="INFO" sheetId="1" r:id="rId1"/>
    <sheet name="UI_설명" sheetId="10" r:id="rId2"/>
    <sheet name="DATA" sheetId="8" r:id="rId3"/>
    <sheet name="NAMECARD" sheetId="2" r:id="rId4"/>
    <sheet name="OPTION" sheetId="3" r:id="rId5"/>
    <sheet name="NAMECARD_CATEGORY" sheetId="4" r:id="rId6"/>
    <sheet name="CONDITION" sheetId="5" r:id="rId7"/>
    <sheet name="REWARD" sheetId="6" r:id="rId8"/>
    <sheet name="NAMECARD_GRADE" sheetId="7" r:id="rId9"/>
    <sheet name="STRING" sheetId="9" r:id="rId10"/>
  </sheets>
  <definedNames>
    <definedName name="_xlnm._FilterDatabase" localSheetId="6" hidden="1">CONDITION!#REF!</definedName>
    <definedName name="_xlnm._FilterDatabase" localSheetId="3" hidden="1">NAMECARD!#REF!</definedName>
    <definedName name="_xlnm._FilterDatabase" localSheetId="5" hidden="1">NAMECARD_CATEGORY!#REF!</definedName>
    <definedName name="_xlnm._FilterDatabase" localSheetId="8" hidden="1">NAMECARD_GRADE!#REF!</definedName>
    <definedName name="_xlnm._FilterDatabase" localSheetId="4" hidden="1">OPTION!#REF!</definedName>
    <definedName name="_xlnm._FilterDatabase" localSheetId="7" hidden="1">REWARD!#REF!</definedName>
    <definedName name="_xlnm._FilterDatabase" localSheetId="9" hidden="1">STRING!#REF!</definedName>
    <definedName name="AlertGetItem">#REF!</definedName>
    <definedName name="AlertGetItem_List">#REF!</definedName>
    <definedName name="Break">#REF!</definedName>
    <definedName name="Break_List">#REF!</definedName>
    <definedName name="Broadcast">#REF!</definedName>
    <definedName name="Broadcast_List">#REF!</definedName>
    <definedName name="CheckTradeRuby_List">#REF!</definedName>
    <definedName name="Enchant">#REF!</definedName>
    <definedName name="Enchant_List">#REF!</definedName>
    <definedName name="FixCreateSlot">#REF!</definedName>
    <definedName name="FixCreateSlot_List">#REF!</definedName>
    <definedName name="FixSlot">#REF!</definedName>
    <definedName name="FixSlot_List">#REF!</definedName>
    <definedName name="IncludeSealing">#REF!</definedName>
    <definedName name="IncludeSealing_List">#REF!</definedName>
    <definedName name="IncludeServerTransfer">#REF!</definedName>
    <definedName name="Is_UsedSkill">#REF!</definedName>
    <definedName name="Is_UsedSkill_List">#REF!</definedName>
    <definedName name="LockFunc">#REF!</definedName>
    <definedName name="LockFunc_List">#REF!</definedName>
    <definedName name="Main_Category">#REF!</definedName>
    <definedName name="Main_Category_List">#REF!</definedName>
    <definedName name="PetAutoSell">#REF!</definedName>
    <definedName name="PetAutoSell_List">#REF!</definedName>
    <definedName name="Sell">#REF!</definedName>
    <definedName name="Sell_List">#REF!</definedName>
    <definedName name="SetOperatorTool_List">#REF!</definedName>
    <definedName name="SetTrade_List">#REF!</definedName>
    <definedName name="Skill_Level_Ratio">#REF!</definedName>
    <definedName name="Sub_Category">#REF!</definedName>
    <definedName name="Sub_Category_List">#REF!</definedName>
    <definedName name="T_AutoSort">#REF!</definedName>
    <definedName name="T_AutoSort_List">#REF!</definedName>
    <definedName name="T_Equip">#REF!</definedName>
    <definedName name="T_Equip_List">#REF!</definedName>
    <definedName name="T_EquipSlot">#REF!</definedName>
    <definedName name="T_EquipSlot_List">#REF!</definedName>
    <definedName name="T_ExchangeCategory">#REF!</definedName>
    <definedName name="T_ExchangeCategory_List">#REF!</definedName>
    <definedName name="T_Goods">#REF!</definedName>
    <definedName name="T_Goods_List">#REF!</definedName>
    <definedName name="T_ItemGrade">#REF!</definedName>
    <definedName name="T_ItemGrade_List">#REF!</definedName>
    <definedName name="T_Job">#REF!</definedName>
    <definedName name="T_Job_List">#REF!</definedName>
    <definedName name="T_RandomBox">#REF!</definedName>
    <definedName name="T_RandomBox_List">#REF!</definedName>
    <definedName name="T_UiNumber">#REF!</definedName>
    <definedName name="T_UiNumber_List">#REF!</definedName>
    <definedName name="T_WeaponBone_L">#REF!</definedName>
    <definedName name="T_WeaponBone_L_List">#REF!</definedName>
    <definedName name="T_WeaponBone_R">#REF!</definedName>
    <definedName name="T_WeaponBone_R_List">#REF!</definedName>
    <definedName name="Throw">#REF!</definedName>
    <definedName name="Throw_List">#REF!</definedName>
    <definedName name="Trade">#REF!</definedName>
    <definedName name="Trade_List">#REF!</definedName>
    <definedName name="TypeGrowth">#REF!</definedName>
    <definedName name="TypeGrowth_List">#REF!</definedName>
    <definedName name="UsedData_List">#REF!</definedName>
    <definedName name="UseLocker">#REF!</definedName>
    <definedName name="UseLocker_List">#REF!</definedName>
    <definedName name="UseMarket">#REF!</definedName>
    <definedName name="UseMarket_List">#REF!</definedName>
    <definedName name="그룹박스수식설정">#REF!</definedName>
    <definedName name="명함_목록">UI_설명!$E$205:$AN$205</definedName>
    <definedName name="명함_상세">UI_설명!$E$262:$AN$262</definedName>
    <definedName name="명함등급_명함카테고리">UI_설명!$E$74:$AN$74</definedName>
    <definedName name="분해등급값">#REF!</definedName>
    <definedName name="분해비교표">#REF!:#REF!</definedName>
    <definedName name="상단_UI">UI_설명!$E$39:$AN$39</definedName>
    <definedName name="성장경험치값">#REF!</definedName>
    <definedName name="성장경험치배율값">#REF!</definedName>
    <definedName name="성장스탯값">#REF!</definedName>
    <definedName name="성장인덱스">#REF!</definedName>
    <definedName name="아이템이큅수식설정">#REF!</definedName>
    <definedName name="아이템인포수식설정">#REF!</definedName>
    <definedName name="이름">#REF!</definedName>
    <definedName name="자료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C6" i="4"/>
  <c r="C7" i="4"/>
  <c r="C8" i="4"/>
  <c r="C9" i="4"/>
  <c r="C4" i="4"/>
  <c r="A4" i="3"/>
  <c r="C12" i="2"/>
  <c r="A12" i="2" s="1"/>
  <c r="H12" i="2" s="1"/>
  <c r="A15" i="3"/>
  <c r="A14" i="3"/>
  <c r="A13" i="3"/>
  <c r="A12" i="3"/>
  <c r="A11" i="3"/>
  <c r="A10" i="3"/>
  <c r="A9" i="3"/>
  <c r="A8" i="3"/>
  <c r="A7" i="3"/>
  <c r="A6" i="3"/>
  <c r="A5" i="3"/>
  <c r="C13" i="2"/>
  <c r="A13" i="2" s="1"/>
  <c r="H13" i="2" s="1"/>
  <c r="C11" i="2"/>
  <c r="A11" i="2" s="1"/>
  <c r="G11" i="2" s="1"/>
  <c r="C10" i="2"/>
  <c r="A10" i="2" s="1"/>
  <c r="H10" i="2" s="1"/>
  <c r="C9" i="2"/>
  <c r="A9" i="2" s="1"/>
  <c r="H9" i="2" s="1"/>
  <c r="C8" i="2"/>
  <c r="A8" i="2" s="1"/>
  <c r="H8" i="2" s="1"/>
  <c r="C7" i="2"/>
  <c r="A7" i="2" s="1"/>
  <c r="H7" i="2" s="1"/>
  <c r="C6" i="2"/>
  <c r="A6" i="2" s="1"/>
  <c r="G6" i="2" s="1"/>
  <c r="C5" i="2"/>
  <c r="A5" i="2" s="1"/>
  <c r="H5" i="2" s="1"/>
  <c r="C4" i="2"/>
  <c r="A4" i="2" s="1"/>
  <c r="H4" i="2" s="1"/>
  <c r="I12" i="2" l="1"/>
  <c r="I8" i="2"/>
  <c r="I11" i="2"/>
  <c r="I7" i="2"/>
  <c r="I4" i="2"/>
  <c r="I10" i="2"/>
  <c r="I6" i="2"/>
  <c r="I13" i="2"/>
  <c r="I9" i="2"/>
  <c r="I5" i="2"/>
  <c r="H11" i="2"/>
  <c r="H6" i="2"/>
  <c r="G4" i="2"/>
  <c r="G13" i="2"/>
  <c r="G12" i="2"/>
  <c r="G10" i="2"/>
  <c r="G9" i="2"/>
  <c r="G8" i="2"/>
  <c r="G7" i="2"/>
  <c r="G5" i="2"/>
</calcChain>
</file>

<file path=xl/sharedStrings.xml><?xml version="1.0" encoding="utf-8"?>
<sst xmlns="http://schemas.openxmlformats.org/spreadsheetml/2006/main" count="607" uniqueCount="317">
  <si>
    <t>명함(칭호) 시스템 기획 초안</t>
  </si>
  <si>
    <t xml:space="preserve"> 개요</t>
    <phoneticPr fontId="2" type="noConversion"/>
  </si>
  <si>
    <r>
      <t xml:space="preserve">- </t>
    </r>
    <r>
      <rPr>
        <b/>
        <sz val="10"/>
        <color theme="1"/>
        <rFont val="맑은 고딕"/>
        <family val="3"/>
        <charset val="129"/>
        <scheme val="minor"/>
      </rPr>
      <t>명함 등급</t>
    </r>
    <r>
      <rPr>
        <sz val="10"/>
        <color theme="1"/>
        <rFont val="맑은 고딕"/>
        <family val="3"/>
        <charset val="129"/>
        <scheme val="minor"/>
      </rPr>
      <t xml:space="preserve">에 따른 </t>
    </r>
    <r>
      <rPr>
        <b/>
        <sz val="10"/>
        <color theme="1"/>
        <rFont val="맑은 고딕"/>
        <family val="3"/>
        <charset val="129"/>
        <scheme val="minor"/>
      </rPr>
      <t>보상</t>
    </r>
    <r>
      <rPr>
        <sz val="10"/>
        <color theme="1"/>
        <rFont val="맑은 고딕"/>
        <family val="3"/>
        <charset val="129"/>
        <scheme val="minor"/>
      </rPr>
      <t xml:space="preserve"> 및 </t>
    </r>
    <r>
      <rPr>
        <b/>
        <sz val="10"/>
        <color theme="1"/>
        <rFont val="맑은 고딕"/>
        <family val="3"/>
        <charset val="129"/>
        <scheme val="minor"/>
      </rPr>
      <t>총 수집 옵션</t>
    </r>
    <r>
      <rPr>
        <sz val="10"/>
        <color theme="1"/>
        <rFont val="맑은 고딕"/>
        <family val="3"/>
        <charset val="129"/>
        <scheme val="minor"/>
      </rPr>
      <t>이 존재하고, 획득한 명함에 대한 추가 능력치로 인하여 수집력을 높인다</t>
    </r>
    <phoneticPr fontId="2" type="noConversion"/>
  </si>
  <si>
    <t>- 명함 획득 조건 달성 시 명함을 획득 가능하다.</t>
    <phoneticPr fontId="2" type="noConversion"/>
  </si>
  <si>
    <t>ex) 탐험(채집)으로 명함 획득 시 채집에 유리한 능력치를 제공하는 형태</t>
    <phoneticPr fontId="2" type="noConversion"/>
  </si>
  <si>
    <r>
      <t xml:space="preserve">- 각 명함마다 </t>
    </r>
    <r>
      <rPr>
        <b/>
        <sz val="10"/>
        <color theme="1"/>
        <rFont val="맑은 고딕"/>
        <family val="3"/>
        <charset val="129"/>
        <scheme val="minor"/>
      </rPr>
      <t>옵션</t>
    </r>
    <r>
      <rPr>
        <sz val="10"/>
        <color theme="1"/>
        <rFont val="맑은 고딕"/>
        <family val="2"/>
        <charset val="129"/>
        <scheme val="minor"/>
      </rPr>
      <t>이 존재한다.</t>
    </r>
    <phoneticPr fontId="2" type="noConversion"/>
  </si>
  <si>
    <t>- 각 캐릭터마다 명함 착용이 가능하다.</t>
    <phoneticPr fontId="2" type="noConversion"/>
  </si>
  <si>
    <t>ㄴ 캐릭터 1인당 1개씩 착용 가능하다.</t>
    <phoneticPr fontId="2" type="noConversion"/>
  </si>
  <si>
    <t>ㄴ 획득한 명함 카테고리에 어울리는 능력치를 착용할 수 있게하여 (전투, 탐험 등..) 여러 분야의 컨텐츠를 플레이하여 수집하도록 한다</t>
    <phoneticPr fontId="2" type="noConversion"/>
  </si>
  <si>
    <t>ㄴ 명함을 장착하는 건 장비 탭에서 같이 장착하게끔 설정. (캐릭터마다 다른 명함을 장착해야하기 때문)</t>
    <phoneticPr fontId="2" type="noConversion"/>
  </si>
  <si>
    <t>- 캐릭터 머리 위에 표시되는 형태</t>
    <phoneticPr fontId="2" type="noConversion"/>
  </si>
  <si>
    <t>- 명함에 여러 디자인 (꾸밈 요소)이 들어가면서, 추후 콜라보나 이벤트 명함으로도 확장할 수 있다.</t>
    <phoneticPr fontId="2" type="noConversion"/>
  </si>
  <si>
    <t>(추후 개발 상황에 따라 변동 가능성 있음)</t>
    <phoneticPr fontId="2" type="noConversion"/>
  </si>
  <si>
    <t>명함 메인 UI</t>
    <phoneticPr fontId="2" type="noConversion"/>
  </si>
  <si>
    <t>명함 등급 팝업</t>
    <phoneticPr fontId="2" type="noConversion"/>
  </si>
  <si>
    <t xml:space="preserve"> UI 초안</t>
    <phoneticPr fontId="2" type="noConversion"/>
  </si>
  <si>
    <t>칭호 이름</t>
    <phoneticPr fontId="2" type="noConversion"/>
  </si>
  <si>
    <t>획득 조건 그룹</t>
    <phoneticPr fontId="2" type="noConversion"/>
  </si>
  <si>
    <t>보상 그룹</t>
    <phoneticPr fontId="2" type="noConversion"/>
  </si>
  <si>
    <t>ID</t>
  </si>
  <si>
    <t>int</t>
    <phoneticPr fontId="2" type="noConversion"/>
  </si>
  <si>
    <t>comment</t>
    <phoneticPr fontId="2" type="noConversion"/>
  </si>
  <si>
    <t>string</t>
    <phoneticPr fontId="2" type="noConversion"/>
  </si>
  <si>
    <t>하늘 높이 솟은 신극</t>
    <phoneticPr fontId="2" type="noConversion"/>
  </si>
  <si>
    <t>바람의 땅에서 위세를 떨치다</t>
    <phoneticPr fontId="2" type="noConversion"/>
  </si>
  <si>
    <t>아름다운 여정: 프롤로그</t>
    <phoneticPr fontId="2" type="noConversion"/>
  </si>
  <si>
    <t>악령이여 물러가라</t>
    <phoneticPr fontId="2" type="noConversion"/>
  </si>
  <si>
    <t>즐거움을 찾아서</t>
    <phoneticPr fontId="2" type="noConversion"/>
  </si>
  <si>
    <t>통달한</t>
    <phoneticPr fontId="2" type="noConversion"/>
  </si>
  <si>
    <t>신세대</t>
    <phoneticPr fontId="2" type="noConversion"/>
  </si>
  <si>
    <t>자주 아픈</t>
    <phoneticPr fontId="2" type="noConversion"/>
  </si>
  <si>
    <t>불운한</t>
    <phoneticPr fontId="2" type="noConversion"/>
  </si>
  <si>
    <t>훌륭하게 준비된</t>
    <phoneticPr fontId="2" type="noConversion"/>
  </si>
  <si>
    <t>옵션 타입</t>
    <phoneticPr fontId="2" type="noConversion"/>
  </si>
  <si>
    <t>옵션 비율</t>
    <phoneticPr fontId="2" type="noConversion"/>
  </si>
  <si>
    <t>옵션 값</t>
    <phoneticPr fontId="2" type="noConversion"/>
  </si>
  <si>
    <t>옵션 내용</t>
    <phoneticPr fontId="2" type="noConversion"/>
  </si>
  <si>
    <t>comment</t>
  </si>
  <si>
    <t>생명력 +10</t>
    <phoneticPr fontId="2" type="noConversion"/>
  </si>
  <si>
    <t>하늘 높이 솟은 신극</t>
  </si>
  <si>
    <t>치유력 +10</t>
    <phoneticPr fontId="2" type="noConversion"/>
  </si>
  <si>
    <t>치명타 확률 +1%</t>
    <phoneticPr fontId="2" type="noConversion"/>
  </si>
  <si>
    <t>바람의 땅에서 위세를 떨치다</t>
  </si>
  <si>
    <t>아름다운 여정: 프롤로그</t>
  </si>
  <si>
    <t>악령이여 물러가라</t>
  </si>
  <si>
    <t>즐거움을 찾아서</t>
  </si>
  <si>
    <t>통달한</t>
  </si>
  <si>
    <t>신세대</t>
  </si>
  <si>
    <t>자주 아픈</t>
  </si>
  <si>
    <t>불운한</t>
  </si>
  <si>
    <t>훌륭하게 준비된</t>
  </si>
  <si>
    <t>육성</t>
    <phoneticPr fontId="2" type="noConversion"/>
  </si>
  <si>
    <t>아이템</t>
    <phoneticPr fontId="2" type="noConversion"/>
  </si>
  <si>
    <t>전투</t>
    <phoneticPr fontId="2" type="noConversion"/>
  </si>
  <si>
    <t>이벤트</t>
    <phoneticPr fontId="2" type="noConversion"/>
  </si>
  <si>
    <t>즐겨찾기</t>
    <phoneticPr fontId="2" type="noConversion"/>
  </si>
  <si>
    <t>획득 조건 타입</t>
    <phoneticPr fontId="2" type="noConversion"/>
  </si>
  <si>
    <t>획득 조건 값</t>
    <phoneticPr fontId="2" type="noConversion"/>
  </si>
  <si>
    <t>스탯 달성</t>
  </si>
  <si>
    <t>아이템 획득</t>
  </si>
  <si>
    <t>재화 사용</t>
  </si>
  <si>
    <t>등등</t>
  </si>
  <si>
    <t>보상 아이템 ID</t>
    <phoneticPr fontId="2" type="noConversion"/>
  </si>
  <si>
    <t>아이템 수량</t>
    <phoneticPr fontId="2" type="noConversion"/>
  </si>
  <si>
    <t>획득 확률</t>
    <phoneticPr fontId="2" type="noConversion"/>
  </si>
  <si>
    <t>필요 경험치</t>
    <phoneticPr fontId="2" type="noConversion"/>
  </si>
  <si>
    <t>누적 경험치</t>
    <phoneticPr fontId="2" type="noConversion"/>
  </si>
  <si>
    <t>명함 이름</t>
    <phoneticPr fontId="2" type="noConversion"/>
  </si>
  <si>
    <t>명함 옵션 그룹</t>
    <phoneticPr fontId="2" type="noConversion"/>
  </si>
  <si>
    <t>명함 카테고리</t>
    <phoneticPr fontId="2" type="noConversion"/>
  </si>
  <si>
    <t>명함 설명</t>
    <phoneticPr fontId="2" type="noConversion"/>
  </si>
  <si>
    <t>아이디</t>
    <phoneticPr fontId="2" type="noConversion"/>
  </si>
  <si>
    <t>탐험</t>
    <phoneticPr fontId="2" type="noConversion"/>
  </si>
  <si>
    <t>명함 카테고리 이름</t>
    <phoneticPr fontId="2" type="noConversion"/>
  </si>
  <si>
    <t>광물 채집</t>
    <phoneticPr fontId="2" type="noConversion"/>
  </si>
  <si>
    <t>퀘스트 테이블 참조</t>
    <phoneticPr fontId="2" type="noConversion"/>
  </si>
  <si>
    <t>아이템 테이블 참조</t>
    <phoneticPr fontId="2" type="noConversion"/>
  </si>
  <si>
    <t>명함 등급</t>
    <phoneticPr fontId="2" type="noConversion"/>
  </si>
  <si>
    <t>int64</t>
  </si>
  <si>
    <t>명함 등급 옵션 그룹</t>
    <phoneticPr fontId="2" type="noConversion"/>
  </si>
  <si>
    <t>명함 등급 보상 그룹</t>
    <phoneticPr fontId="2" type="noConversion"/>
  </si>
  <si>
    <t>필터 구성: 전체, 보유 명함, 미보유 명함</t>
    <phoneticPr fontId="2" type="noConversion"/>
  </si>
  <si>
    <r>
      <t xml:space="preserve">- 각 명함마다 </t>
    </r>
    <r>
      <rPr>
        <b/>
        <sz val="10"/>
        <color theme="1"/>
        <rFont val="맑은 고딕"/>
        <family val="3"/>
        <charset val="129"/>
        <scheme val="minor"/>
      </rPr>
      <t>경험치 값</t>
    </r>
    <r>
      <rPr>
        <sz val="10"/>
        <color theme="1"/>
        <rFont val="맑은 고딕"/>
        <family val="3"/>
        <charset val="129"/>
        <scheme val="minor"/>
      </rPr>
      <t xml:space="preserve">이 존재하며, 그에 따라 </t>
    </r>
    <r>
      <rPr>
        <b/>
        <sz val="10"/>
        <color theme="1"/>
        <rFont val="맑은 고딕"/>
        <family val="3"/>
        <charset val="129"/>
        <scheme val="minor"/>
      </rPr>
      <t>명함 등급</t>
    </r>
    <r>
      <rPr>
        <sz val="10"/>
        <color theme="1"/>
        <rFont val="맑은 고딕"/>
        <family val="3"/>
        <charset val="129"/>
        <scheme val="minor"/>
      </rPr>
      <t>을 올릴 수 있다.</t>
    </r>
    <phoneticPr fontId="2" type="noConversion"/>
  </si>
  <si>
    <t>ㄴ 경험치 값은 게이지와 숫자로 같이 표현한다.</t>
    <phoneticPr fontId="2" type="noConversion"/>
  </si>
  <si>
    <t>ID</t>
    <phoneticPr fontId="2" type="noConversion"/>
  </si>
  <si>
    <t>COMMENT</t>
    <phoneticPr fontId="2" type="noConversion"/>
  </si>
  <si>
    <t>OPTION_GROUP</t>
  </si>
  <si>
    <t>OPTION_GROUP</t>
    <phoneticPr fontId="2" type="noConversion"/>
  </si>
  <si>
    <t>NAMECARD_CATEGORY</t>
  </si>
  <si>
    <t>NAMECARD_CATEGORY</t>
    <phoneticPr fontId="2" type="noConversion"/>
  </si>
  <si>
    <t>CONDITION_GROUP</t>
    <phoneticPr fontId="2" type="noConversion"/>
  </si>
  <si>
    <t>REWARD_GROUP</t>
  </si>
  <si>
    <t>REWARD_GROUP</t>
    <phoneticPr fontId="2" type="noConversion"/>
  </si>
  <si>
    <t>NAMECARD_NAME</t>
    <phoneticPr fontId="2" type="noConversion"/>
  </si>
  <si>
    <t>NAMECARD_DESC</t>
    <phoneticPr fontId="2" type="noConversion"/>
  </si>
  <si>
    <t>OPTION_TYPE</t>
    <phoneticPr fontId="2" type="noConversion"/>
  </si>
  <si>
    <t>ISRATE</t>
    <phoneticPr fontId="2" type="noConversion"/>
  </si>
  <si>
    <t>NAMECARD_CATEGORY_NAME</t>
    <phoneticPr fontId="2" type="noConversion"/>
  </si>
  <si>
    <t>CONDITION_TYPE</t>
    <phoneticPr fontId="2" type="noConversion"/>
  </si>
  <si>
    <t>ITEM_ID</t>
    <phoneticPr fontId="2" type="noConversion"/>
  </si>
  <si>
    <t>ITEM_COUNT</t>
    <phoneticPr fontId="2" type="noConversion"/>
  </si>
  <si>
    <t>NAMECARD_GRADE</t>
  </si>
  <si>
    <t>NAMECARD_GRADE</t>
    <phoneticPr fontId="2" type="noConversion"/>
  </si>
  <si>
    <t>CUMULATIVE_EXP</t>
  </si>
  <si>
    <t>CUMULATIVE_EXP</t>
    <phoneticPr fontId="2" type="noConversion"/>
  </si>
  <si>
    <t>NEED_EXP</t>
  </si>
  <si>
    <t>NEED_EXP</t>
    <phoneticPr fontId="2" type="noConversion"/>
  </si>
  <si>
    <t>NAMECARD</t>
    <phoneticPr fontId="2" type="noConversion"/>
  </si>
  <si>
    <t>OPTION</t>
    <phoneticPr fontId="2" type="noConversion"/>
  </si>
  <si>
    <t>CONDITION</t>
    <phoneticPr fontId="2" type="noConversion"/>
  </si>
  <si>
    <t>REWARD</t>
    <phoneticPr fontId="2" type="noConversion"/>
  </si>
  <si>
    <t>데이터 구조도</t>
    <phoneticPr fontId="2" type="noConversion"/>
  </si>
  <si>
    <t>ITEM</t>
    <phoneticPr fontId="2" type="noConversion"/>
  </si>
  <si>
    <t>ITEM_CATEGORY</t>
    <phoneticPr fontId="2" type="noConversion"/>
  </si>
  <si>
    <t>ITEM_TYPE</t>
    <phoneticPr fontId="2" type="noConversion"/>
  </si>
  <si>
    <t>ITEM_ICON</t>
    <phoneticPr fontId="2" type="noConversion"/>
  </si>
  <si>
    <t>ITEM_DESC</t>
    <phoneticPr fontId="2" type="noConversion"/>
  </si>
  <si>
    <t>···</t>
    <phoneticPr fontId="2" type="noConversion"/>
  </si>
  <si>
    <t>STRING_KEY</t>
    <phoneticPr fontId="2" type="noConversion"/>
  </si>
  <si>
    <t>DESC</t>
    <phoneticPr fontId="2" type="noConversion"/>
  </si>
  <si>
    <r>
      <t xml:space="preserve">→ 경험치 값은 </t>
    </r>
    <r>
      <rPr>
        <b/>
        <sz val="9"/>
        <color theme="1"/>
        <rFont val="맑은 고딕"/>
        <family val="3"/>
        <charset val="129"/>
        <scheme val="minor"/>
      </rPr>
      <t>REWARD</t>
    </r>
    <r>
      <rPr>
        <sz val="9"/>
        <color theme="1"/>
        <rFont val="맑은 고딕"/>
        <family val="2"/>
        <charset val="129"/>
        <scheme val="minor"/>
      </rPr>
      <t xml:space="preserve"> 테이블의 </t>
    </r>
    <r>
      <rPr>
        <b/>
        <sz val="9"/>
        <color theme="1"/>
        <rFont val="맑은 고딕"/>
        <family val="3"/>
        <charset val="129"/>
        <scheme val="minor"/>
      </rPr>
      <t>ITEM_ID</t>
    </r>
    <r>
      <rPr>
        <sz val="9"/>
        <color theme="1"/>
        <rFont val="맑은 고딕"/>
        <family val="3"/>
        <charset val="129"/>
        <scheme val="minor"/>
      </rPr>
      <t>에 포함한다.</t>
    </r>
    <phoneticPr fontId="2" type="noConversion"/>
  </si>
  <si>
    <t>순서</t>
    <phoneticPr fontId="2" type="noConversion"/>
  </si>
  <si>
    <t>SORT</t>
    <phoneticPr fontId="2" type="noConversion"/>
  </si>
  <si>
    <t>UI 세부 설명</t>
    <phoneticPr fontId="2" type="noConversion"/>
  </si>
  <si>
    <t>상단 UI</t>
    <phoneticPr fontId="2" type="noConversion"/>
  </si>
  <si>
    <t>명함 등급 및 명함 카테고리</t>
    <phoneticPr fontId="2" type="noConversion"/>
  </si>
  <si>
    <t>명함 목록</t>
    <phoneticPr fontId="2" type="noConversion"/>
  </si>
  <si>
    <t>명함 상세</t>
    <phoneticPr fontId="2" type="noConversion"/>
  </si>
  <si>
    <t>번호</t>
    <phoneticPr fontId="2" type="noConversion"/>
  </si>
  <si>
    <t>설명</t>
    <phoneticPr fontId="2" type="noConversion"/>
  </si>
  <si>
    <t>* 총 4개의 구역으로 나누어서 UI 구성을 설명한다.</t>
    <phoneticPr fontId="2" type="noConversion"/>
  </si>
  <si>
    <t xml:space="preserve"> UI 구성</t>
    <phoneticPr fontId="2" type="noConversion"/>
  </si>
  <si>
    <t xml:space="preserve"> 상단 UI</t>
    <phoneticPr fontId="2" type="noConversion"/>
  </si>
  <si>
    <r>
      <t xml:space="preserve">- 이전( </t>
    </r>
    <r>
      <rPr>
        <b/>
        <sz val="10"/>
        <color theme="1"/>
        <rFont val="맑은 고딕"/>
        <family val="3"/>
        <charset val="129"/>
        <scheme val="minor"/>
      </rPr>
      <t>&lt;</t>
    </r>
    <r>
      <rPr>
        <sz val="10"/>
        <color theme="1"/>
        <rFont val="맑은 고딕"/>
        <family val="2"/>
        <charset val="129"/>
        <scheme val="minor"/>
      </rPr>
      <t xml:space="preserve"> ) 버튼 터치 시 이전 화면으로 이동</t>
    </r>
    <phoneticPr fontId="2" type="noConversion"/>
  </si>
  <si>
    <t>① 명함 정보 구성</t>
    <phoneticPr fontId="2" type="noConversion"/>
  </si>
  <si>
    <t>- ( ? ) 아이콘 터치 시 명함에 대한 간략한 튜토리얼 팝업 출력</t>
    <phoneticPr fontId="2" type="noConversion"/>
  </si>
  <si>
    <t>튜토리얼 팝업 내용</t>
    <phoneticPr fontId="2" type="noConversion"/>
  </si>
  <si>
    <t>다양한 콘텐츠를 플레이하면 「명함」을 획득할 수 있습니다</t>
    <phoneticPr fontId="2" type="noConversion"/>
  </si>
  <si>
    <t>「명함」은 조사단당 1개씩 장착할 수 있으며, 장착 시 다양한 효과가 발동합니다</t>
    <phoneticPr fontId="2" type="noConversion"/>
  </si>
  <si>
    <t>「명함」을 수집해 명함 등급을 올리면, 등급 보상과 수집 옵션으로 추가 성장을 기대할 수 있습니다!</t>
    <phoneticPr fontId="2" type="noConversion"/>
  </si>
  <si>
    <t>1/3</t>
    <phoneticPr fontId="2" type="noConversion"/>
  </si>
  <si>
    <t>2/3</t>
    <phoneticPr fontId="2" type="noConversion"/>
  </si>
  <si>
    <t>3/3</t>
    <phoneticPr fontId="2" type="noConversion"/>
  </si>
  <si>
    <t>② 설정 및 나가기 버튼</t>
    <phoneticPr fontId="2" type="noConversion"/>
  </si>
  <si>
    <t>- 설정 버튼</t>
    <phoneticPr fontId="2" type="noConversion"/>
  </si>
  <si>
    <t>- ( X ) 버튼 터치 시 로비로 이동</t>
    <phoneticPr fontId="2" type="noConversion"/>
  </si>
  <si>
    <t xml:space="preserve"> 명함 등급 및 명함 카테고리</t>
    <phoneticPr fontId="2" type="noConversion"/>
  </si>
  <si>
    <t>① 명함 등급</t>
    <phoneticPr fontId="2" type="noConversion"/>
  </si>
  <si>
    <t>명함 이미지</t>
    <phoneticPr fontId="2" type="noConversion"/>
  </si>
  <si>
    <t>NAMECARD_IMAGE</t>
    <phoneticPr fontId="2" type="noConversion"/>
  </si>
  <si>
    <t>- 명함 STRING_KEY</t>
    <phoneticPr fontId="2" type="noConversion"/>
  </si>
  <si>
    <t>- 경험치 값은 게이지와 숫자로 같이 표현한다.</t>
    <phoneticPr fontId="2" type="noConversion"/>
  </si>
  <si>
    <t>참조 테이블</t>
    <phoneticPr fontId="2" type="noConversion"/>
  </si>
  <si>
    <t>참조 컬럼</t>
    <phoneticPr fontId="2" type="noConversion"/>
  </si>
  <si>
    <t>내용</t>
    <phoneticPr fontId="2" type="noConversion"/>
  </si>
  <si>
    <t>- '명함 등급' 텍스트 표시</t>
    <phoneticPr fontId="2" type="noConversion"/>
  </si>
  <si>
    <t>- [획득 처리 된 명함 개수 / 전체 명함 개수] 표시</t>
    <phoneticPr fontId="2" type="noConversion"/>
  </si>
  <si>
    <r>
      <t xml:space="preserve">ㄴ </t>
    </r>
    <r>
      <rPr>
        <b/>
        <u/>
        <sz val="10"/>
        <color theme="1"/>
        <rFont val="맑은 고딕"/>
        <family val="3"/>
        <charset val="129"/>
        <scheme val="minor"/>
      </rPr>
      <t>총 누적 경험치 양</t>
    </r>
    <r>
      <rPr>
        <sz val="10"/>
        <color theme="1"/>
        <rFont val="맑은 고딕"/>
        <family val="3"/>
        <charset val="129"/>
        <scheme val="minor"/>
      </rPr>
      <t xml:space="preserve">을 판단하여 </t>
    </r>
    <r>
      <rPr>
        <b/>
        <u/>
        <sz val="10"/>
        <color theme="1"/>
        <rFont val="맑은 고딕"/>
        <family val="3"/>
        <charset val="129"/>
        <scheme val="minor"/>
      </rPr>
      <t>명함 등급</t>
    </r>
    <r>
      <rPr>
        <sz val="10"/>
        <color theme="1"/>
        <rFont val="맑은 고딕"/>
        <family val="3"/>
        <charset val="129"/>
        <scheme val="minor"/>
      </rPr>
      <t>을 출력한다.</t>
    </r>
    <phoneticPr fontId="2" type="noConversion"/>
  </si>
  <si>
    <t>ㄴ 다음 등급의 필요 경험치를 판단하여, 다음 등급까지의 경험치 양을 UI에 게이지 형태로 노출한다.</t>
    <phoneticPr fontId="2" type="noConversion"/>
  </si>
  <si>
    <t>ㄴ NAMECARD 테이블을 참조하여 명함 개수를 COUNT한다.</t>
    <phoneticPr fontId="2" type="noConversion"/>
  </si>
  <si>
    <t>- 돋보기 아이콘 터치 치 명함 등급 팝업 출력</t>
    <phoneticPr fontId="2" type="noConversion"/>
  </si>
  <si>
    <t>① 명함 등급 STRING</t>
    <phoneticPr fontId="2" type="noConversion"/>
  </si>
  <si>
    <t>② X 버튼</t>
    <phoneticPr fontId="2" type="noConversion"/>
  </si>
  <si>
    <t>- X 버튼 터치 시 팝업 종료</t>
    <phoneticPr fontId="2" type="noConversion"/>
  </si>
  <si>
    <r>
      <t xml:space="preserve">ㄴ 팝업 창 이외의 다른 구역 터치 시 팝업 종료 </t>
    </r>
    <r>
      <rPr>
        <b/>
        <sz val="10"/>
        <color theme="1"/>
        <rFont val="맑은 고딕"/>
        <family val="3"/>
        <charset val="129"/>
        <scheme val="minor"/>
      </rPr>
      <t>(모든 팝업 창 통일 요망)</t>
    </r>
    <phoneticPr fontId="2" type="noConversion"/>
  </si>
  <si>
    <t>③ 명함 등급</t>
    <phoneticPr fontId="2" type="noConversion"/>
  </si>
  <si>
    <t>- 최저 등급 (1)일 경우, 1을 중앙에 배치하고 좌측은 비움, 우측에 2, 3, 4…를 표시하는 형태</t>
    <phoneticPr fontId="2" type="noConversion"/>
  </si>
  <si>
    <t>- 최고 등급도 동일하게, 마지막 등급을 중앙에 배치하고 우측은 비움, 좌측에 이전 등급들을 표시</t>
    <phoneticPr fontId="2" type="noConversion"/>
  </si>
  <si>
    <t>- 명함 등급 도달 시 등급 하단에 체크 아이콘 표시</t>
    <phoneticPr fontId="2" type="noConversion"/>
  </si>
  <si>
    <t>④ 명함 수집 옵션</t>
    <phoneticPr fontId="2" type="noConversion"/>
  </si>
  <si>
    <t>⑤ 보상</t>
    <phoneticPr fontId="2" type="noConversion"/>
  </si>
  <si>
    <t xml:space="preserve"> (향후 항목 추가, 변경 가능)</t>
  </si>
  <si>
    <r>
      <t xml:space="preserve">- 총 누적 경험치로 산정된 </t>
    </r>
    <r>
      <rPr>
        <b/>
        <sz val="10"/>
        <color theme="1"/>
        <rFont val="맑은 고딕"/>
        <family val="3"/>
        <charset val="129"/>
        <scheme val="minor"/>
      </rPr>
      <t>현재 등급</t>
    </r>
    <r>
      <rPr>
        <sz val="10"/>
        <color theme="1"/>
        <rFont val="맑은 고딕"/>
        <family val="2"/>
        <charset val="129"/>
        <scheme val="minor"/>
      </rPr>
      <t xml:space="preserve">을 </t>
    </r>
    <r>
      <rPr>
        <b/>
        <sz val="10"/>
        <color theme="1"/>
        <rFont val="맑은 고딕"/>
        <family val="3"/>
        <charset val="129"/>
        <scheme val="minor"/>
      </rPr>
      <t>중앙</t>
    </r>
    <r>
      <rPr>
        <sz val="10"/>
        <color theme="1"/>
        <rFont val="맑은 고딕"/>
        <family val="2"/>
        <charset val="129"/>
        <scheme val="minor"/>
      </rPr>
      <t>에 배치</t>
    </r>
    <phoneticPr fontId="2" type="noConversion"/>
  </si>
  <si>
    <r>
      <t xml:space="preserve">- 좌·우 스크롤로 등급을 이동하며, </t>
    </r>
    <r>
      <rPr>
        <b/>
        <sz val="10"/>
        <color theme="1"/>
        <rFont val="맑은 고딕"/>
        <family val="3"/>
        <charset val="129"/>
        <scheme val="minor"/>
      </rPr>
      <t>선택한 등급을 중앙</t>
    </r>
    <r>
      <rPr>
        <sz val="10"/>
        <color theme="1"/>
        <rFont val="맑은 고딕"/>
        <family val="2"/>
        <charset val="129"/>
        <scheme val="minor"/>
      </rPr>
      <t>에 스냅</t>
    </r>
    <phoneticPr fontId="2" type="noConversion"/>
  </si>
  <si>
    <r>
      <t xml:space="preserve">- </t>
    </r>
    <r>
      <rPr>
        <b/>
        <sz val="10"/>
        <color theme="1"/>
        <rFont val="맑은 고딕"/>
        <family val="3"/>
        <charset val="129"/>
        <scheme val="minor"/>
      </rPr>
      <t>NAMECARD_GRADE 테이블</t>
    </r>
    <r>
      <rPr>
        <sz val="10"/>
        <color theme="1"/>
        <rFont val="맑은 고딕"/>
        <family val="2"/>
        <charset val="129"/>
        <scheme val="minor"/>
      </rPr>
      <t xml:space="preserve">의 </t>
    </r>
    <r>
      <rPr>
        <b/>
        <sz val="10"/>
        <color theme="1"/>
        <rFont val="맑은 고딕"/>
        <family val="3"/>
        <charset val="129"/>
        <scheme val="minor"/>
      </rPr>
      <t>NAMECARD_GRADE 컬럼</t>
    </r>
    <r>
      <rPr>
        <sz val="10"/>
        <color theme="1"/>
        <rFont val="맑은 고딕"/>
        <family val="2"/>
        <charset val="129"/>
        <scheme val="minor"/>
      </rPr>
      <t xml:space="preserve">에 따라 </t>
    </r>
    <r>
      <rPr>
        <b/>
        <sz val="10"/>
        <color theme="1"/>
        <rFont val="맑은 고딕"/>
        <family val="3"/>
        <charset val="129"/>
        <scheme val="minor"/>
      </rPr>
      <t>OPTION_GROUP</t>
    </r>
    <r>
      <rPr>
        <sz val="10"/>
        <color theme="1"/>
        <rFont val="맑은 고딕"/>
        <family val="2"/>
        <charset val="129"/>
        <scheme val="minor"/>
      </rPr>
      <t>을 판단</t>
    </r>
    <phoneticPr fontId="2" type="noConversion"/>
  </si>
  <si>
    <r>
      <t xml:space="preserve">- 명함 수집 옵션은 기본 </t>
    </r>
    <r>
      <rPr>
        <b/>
        <sz val="10"/>
        <color theme="1"/>
        <rFont val="맑은 고딕"/>
        <family val="3"/>
        <charset val="129"/>
        <scheme val="minor"/>
      </rPr>
      <t>3종</t>
    </r>
    <r>
      <rPr>
        <sz val="10"/>
        <color theme="1"/>
        <rFont val="맑은 고딕"/>
        <family val="2"/>
        <charset val="129"/>
        <scheme val="minor"/>
      </rPr>
      <t>(공격력/방어력/체력)으로로 고정한다</t>
    </r>
    <phoneticPr fontId="2" type="noConversion"/>
  </si>
  <si>
    <t>옵션 그룹</t>
    <phoneticPr fontId="2" type="noConversion"/>
  </si>
  <si>
    <t>명함 수집 옵션</t>
    <phoneticPr fontId="2" type="noConversion"/>
  </si>
  <si>
    <t>공격력</t>
    <phoneticPr fontId="2" type="noConversion"/>
  </si>
  <si>
    <t>방어력</t>
    <phoneticPr fontId="2" type="noConversion"/>
  </si>
  <si>
    <t>체력</t>
    <phoneticPr fontId="2" type="noConversion"/>
  </si>
  <si>
    <r>
      <t xml:space="preserve">- </t>
    </r>
    <r>
      <rPr>
        <b/>
        <sz val="10"/>
        <color theme="1"/>
        <rFont val="맑은 고딕"/>
        <family val="3"/>
        <charset val="129"/>
        <scheme val="minor"/>
      </rPr>
      <t>NAMECARD_GRADE 테이블</t>
    </r>
    <r>
      <rPr>
        <sz val="10"/>
        <color theme="1"/>
        <rFont val="맑은 고딕"/>
        <family val="2"/>
        <charset val="129"/>
        <scheme val="minor"/>
      </rPr>
      <t xml:space="preserve">의 </t>
    </r>
    <r>
      <rPr>
        <b/>
        <sz val="10"/>
        <color theme="1"/>
        <rFont val="맑은 고딕"/>
        <family val="3"/>
        <charset val="129"/>
        <scheme val="minor"/>
      </rPr>
      <t>NAMECARD_GRADE 컬럼</t>
    </r>
    <r>
      <rPr>
        <sz val="10"/>
        <color theme="1"/>
        <rFont val="맑은 고딕"/>
        <family val="2"/>
        <charset val="129"/>
        <scheme val="minor"/>
      </rPr>
      <t>에 따라 REWARD_GROUP을 판단</t>
    </r>
    <phoneticPr fontId="2" type="noConversion"/>
  </si>
  <si>
    <t>보상</t>
    <phoneticPr fontId="2" type="noConversion"/>
  </si>
  <si>
    <t>② 명함 카테고리</t>
    <phoneticPr fontId="2" type="noConversion"/>
  </si>
  <si>
    <t>→ SORT 컬럼의 순서에 따라 카테고리 정렬</t>
    <phoneticPr fontId="2" type="noConversion"/>
  </si>
  <si>
    <r>
      <t xml:space="preserve">ㄴ 카테고리 내 명함 개수: </t>
    </r>
    <r>
      <rPr>
        <b/>
        <sz val="10"/>
        <color theme="1"/>
        <rFont val="맑은 고딕"/>
        <family val="3"/>
        <charset val="129"/>
        <scheme val="minor"/>
      </rPr>
      <t>NAMECARD</t>
    </r>
    <r>
      <rPr>
        <sz val="10"/>
        <color theme="1"/>
        <rFont val="맑은 고딕"/>
        <family val="3"/>
        <charset val="129"/>
        <scheme val="minor"/>
      </rPr>
      <t xml:space="preserve"> 테이블의 CATEGOTY 명함 개수를 COUNT한다.</t>
    </r>
    <phoneticPr fontId="2" type="noConversion"/>
  </si>
  <si>
    <t xml:space="preserve"> 명함 목록</t>
    <phoneticPr fontId="2" type="noConversion"/>
  </si>
  <si>
    <t>⑥ 보상 수령 버튼</t>
    <phoneticPr fontId="2" type="noConversion"/>
  </si>
  <si>
    <t>등급 미달성</t>
    <phoneticPr fontId="2" type="noConversion"/>
  </si>
  <si>
    <t>수령</t>
    <phoneticPr fontId="2" type="noConversion"/>
  </si>
  <si>
    <t>수령 완료</t>
    <phoneticPr fontId="2" type="noConversion"/>
  </si>
  <si>
    <t>NAMECARD_GRADE_POPUP_LOCKED</t>
    <phoneticPr fontId="2" type="noConversion"/>
  </si>
  <si>
    <t>NAMECARD_GRADE_POPUP_CLAIMABLE</t>
    <phoneticPr fontId="2" type="noConversion"/>
  </si>
  <si>
    <t>NAMECARD_GRADE_POPUP_CLAIMED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</si>
  <si>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→ </t>
    </r>
    <r>
      <rPr>
        <b/>
        <sz val="10"/>
        <color theme="8" tint="-0.249977111117893"/>
        <rFont val="맑은 고딕"/>
        <family val="3"/>
        <charset val="129"/>
        <scheme val="minor"/>
      </rPr>
      <t>등급 미달성:</t>
    </r>
    <r>
      <rPr>
        <sz val="10"/>
        <color theme="1"/>
        <rFont val="맑은 고딕"/>
        <family val="2"/>
        <charset val="129"/>
        <scheme val="minor"/>
      </rPr>
      <t xml:space="preserve"> 현재 등급에 도달하지 못함 (버튼 비활성)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</si>
  <si>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→ </t>
    </r>
    <r>
      <rPr>
        <b/>
        <sz val="10"/>
        <color theme="8" tint="-0.249977111117893"/>
        <rFont val="맑은 고딕"/>
        <family val="3"/>
        <charset val="129"/>
        <scheme val="minor"/>
      </rPr>
      <t>수령:</t>
    </r>
    <r>
      <rPr>
        <sz val="10"/>
        <color theme="1"/>
        <rFont val="맑은 고딕"/>
        <family val="2"/>
        <charset val="129"/>
        <scheme val="minor"/>
      </rPr>
      <t xml:space="preserve"> 등급 달성 &amp; 보상 미수령 (버튼 활성)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</si>
  <si>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→ </t>
    </r>
    <r>
      <rPr>
        <b/>
        <sz val="10"/>
        <color theme="8" tint="-0.249977111117893"/>
        <rFont val="맑은 고딕"/>
        <family val="3"/>
        <charset val="129"/>
        <scheme val="minor"/>
      </rPr>
      <t>수령 완료:</t>
    </r>
    <r>
      <rPr>
        <sz val="10"/>
        <color theme="1"/>
        <rFont val="맑은 고딕"/>
        <family val="2"/>
        <charset val="129"/>
        <scheme val="minor"/>
      </rPr>
      <t xml:space="preserve"> 보상 이미 수령 (버튼 비활성)</t>
    </r>
    <phoneticPr fontId="2" type="noConversion"/>
  </si>
  <si>
    <r>
      <t xml:space="preserve">- 버튼 상태 정의: </t>
    </r>
    <r>
      <rPr>
        <sz val="10"/>
        <color theme="1"/>
        <rFont val="맑은 고딕"/>
        <family val="3"/>
        <charset val="129"/>
        <scheme val="minor"/>
      </rPr>
      <t xml:space="preserve">서버에서 </t>
    </r>
    <r>
      <rPr>
        <b/>
        <sz val="10"/>
        <color theme="9" tint="-0.249977111117893"/>
        <rFont val="맑은 고딕"/>
        <family val="3"/>
        <charset val="129"/>
        <scheme val="minor"/>
      </rPr>
      <t>등급 달성 여부(CONDITION)</t>
    </r>
    <r>
      <rPr>
        <sz val="10"/>
        <color theme="1"/>
        <rFont val="맑은 고딕"/>
        <family val="3"/>
        <charset val="129"/>
        <scheme val="minor"/>
      </rPr>
      <t xml:space="preserve">와 </t>
    </r>
    <r>
      <rPr>
        <b/>
        <sz val="10"/>
        <color theme="5" tint="-0.249977111117893"/>
        <rFont val="맑은 고딕"/>
        <family val="3"/>
        <charset val="129"/>
        <scheme val="minor"/>
      </rPr>
      <t>보상 수령 여부</t>
    </r>
    <r>
      <rPr>
        <sz val="10"/>
        <color theme="1"/>
        <rFont val="맑은 고딕"/>
        <family val="3"/>
        <charset val="129"/>
        <scheme val="minor"/>
      </rPr>
      <t>를 판단하여 결정</t>
    </r>
    <phoneticPr fontId="2" type="noConversion"/>
  </si>
  <si>
    <t>명함</t>
    <phoneticPr fontId="2" type="noConversion"/>
  </si>
  <si>
    <t>NAMECARD_TITLE</t>
    <phoneticPr fontId="2" type="noConversion"/>
  </si>
  <si>
    <t>NAMECARD_TUTORIAL_TEXT_1</t>
    <phoneticPr fontId="2" type="noConversion"/>
  </si>
  <si>
    <t>NAMECARD_TUTORIAL_TEXT_2</t>
    <phoneticPr fontId="2" type="noConversion"/>
  </si>
  <si>
    <t>NAMECARD_TUTORIAL_TEXT_3</t>
    <phoneticPr fontId="2" type="noConversion"/>
  </si>
  <si>
    <t>NAMECARD_GRADE_TEXT</t>
    <phoneticPr fontId="2" type="noConversion"/>
  </si>
  <si>
    <t>NAMECARD_GRADE_POPUP_TEXT</t>
    <phoneticPr fontId="2" type="noConversion"/>
  </si>
  <si>
    <t>NAMECARD_GRADE_POPUP_OPTION</t>
    <phoneticPr fontId="2" type="noConversion"/>
  </si>
  <si>
    <t>NAMECARD_GRADE_POPUP_</t>
    <phoneticPr fontId="2" type="noConversion"/>
  </si>
  <si>
    <t>NAMECARD_GRADE_POPUP_REWARD</t>
    <phoneticPr fontId="2" type="noConversion"/>
  </si>
  <si>
    <t>인벤토리가 가득 찼어요</t>
    <phoneticPr fontId="2" type="noConversion"/>
  </si>
  <si>
    <r>
      <t xml:space="preserve">* 인벤토리 FULL: </t>
    </r>
    <r>
      <rPr>
        <sz val="10"/>
        <color theme="1"/>
        <rFont val="맑은 고딕"/>
        <family val="3"/>
        <charset val="129"/>
        <scheme val="minor"/>
      </rPr>
      <t>"인벤토리가 가득 찼어요" 토스트 메시지</t>
    </r>
    <phoneticPr fontId="2" type="noConversion"/>
  </si>
  <si>
    <t>NAMECARD_GRADE_POPUP_INVEN_FULL_TOAST</t>
    <phoneticPr fontId="2" type="noConversion"/>
  </si>
  <si>
    <t>- [획득 처리 된 명함 개수 / 카테고리 내 전체 명함 개수] 표시</t>
    <phoneticPr fontId="2" type="noConversion"/>
  </si>
  <si>
    <t>즐겨찾기 명함이 없습니다</t>
    <phoneticPr fontId="2" type="noConversion"/>
  </si>
  <si>
    <r>
      <t xml:space="preserve">* 총계 0 </t>
    </r>
    <r>
      <rPr>
        <sz val="10"/>
        <color theme="1"/>
        <rFont val="맑은 고딕"/>
        <family val="3"/>
        <charset val="129"/>
        <scheme val="minor"/>
      </rPr>
      <t>(비어있는 카테고리)</t>
    </r>
    <r>
      <rPr>
        <b/>
        <sz val="10"/>
        <color theme="1"/>
        <rFont val="맑은 고딕"/>
        <family val="3"/>
        <charset val="129"/>
        <scheme val="minor"/>
      </rPr>
      <t>: {0} / {0} 표시 숨김</t>
    </r>
    <phoneticPr fontId="2" type="noConversion"/>
  </si>
  <si>
    <r>
      <rPr>
        <sz val="10"/>
        <color theme="1"/>
        <rFont val="맑은 고딕"/>
        <family val="3"/>
        <charset val="129"/>
        <scheme val="minor"/>
      </rPr>
      <t>*</t>
    </r>
    <r>
      <rPr>
        <sz val="10"/>
        <color theme="1"/>
        <rFont val="맑은 고딕"/>
        <family val="2"/>
        <charset val="129"/>
        <scheme val="minor"/>
      </rPr>
      <t xml:space="preserve"> 즐겨찾기의 경우 0일 때, 명함 목록 구역에 목록 대신 </t>
    </r>
    <r>
      <rPr>
        <b/>
        <sz val="10"/>
        <color theme="1"/>
        <rFont val="맑은 고딕"/>
        <family val="3"/>
        <charset val="129"/>
        <scheme val="minor"/>
      </rPr>
      <t>"즐겨찾기 명함이 없습니다"</t>
    </r>
    <r>
      <rPr>
        <sz val="10"/>
        <color theme="1"/>
        <rFont val="맑은 고딕"/>
        <family val="2"/>
        <charset val="129"/>
        <scheme val="minor"/>
      </rPr>
      <t xml:space="preserve"> 표시</t>
    </r>
    <phoneticPr fontId="2" type="noConversion"/>
  </si>
  <si>
    <t>NAMECARD_CATEGORY_EVENT</t>
    <phoneticPr fontId="2" type="noConversion"/>
  </si>
  <si>
    <t>NAMECARD_CATEGORY_ITEM</t>
    <phoneticPr fontId="2" type="noConversion"/>
  </si>
  <si>
    <t>NAMECARD_CATEGORY_FAVORITE</t>
    <phoneticPr fontId="2" type="noConversion"/>
  </si>
  <si>
    <t>NAMECARD_CATEGORY_FAVORITE_</t>
    <phoneticPr fontId="2" type="noConversion"/>
  </si>
  <si>
    <t>NAMECARD_CATEGORY_PROGRESSION</t>
    <phoneticPr fontId="2" type="noConversion"/>
  </si>
  <si>
    <t>NAMECARD_CATEGORY_COMBAT</t>
    <phoneticPr fontId="2" type="noConversion"/>
  </si>
  <si>
    <t>NAMECARD_CATEGORY_EXPLORE</t>
    <phoneticPr fontId="2" type="noConversion"/>
  </si>
  <si>
    <t>~튜토리얼 팝업 창 구성은 준비 중~</t>
    <phoneticPr fontId="2" type="noConversion"/>
  </si>
  <si>
    <t>← (UI 적용 시 정렬 문제로 인해 안 예쁘면 변경 가능성 有)</t>
    <phoneticPr fontId="2" type="noConversion"/>
  </si>
  <si>
    <t>① 필터</t>
    <phoneticPr fontId="2" type="noConversion"/>
  </si>
  <si>
    <r>
      <t xml:space="preserve">- 필터 종류: </t>
    </r>
    <r>
      <rPr>
        <b/>
        <sz val="10"/>
        <color theme="1"/>
        <rFont val="맑은 고딕"/>
        <family val="3"/>
        <charset val="129"/>
        <scheme val="minor"/>
      </rPr>
      <t>전체</t>
    </r>
    <r>
      <rPr>
        <sz val="10"/>
        <color theme="1"/>
        <rFont val="맑은 고딕"/>
        <family val="2"/>
        <charset val="129"/>
        <scheme val="minor"/>
      </rPr>
      <t xml:space="preserve"> / </t>
    </r>
    <r>
      <rPr>
        <b/>
        <sz val="10"/>
        <color theme="1"/>
        <rFont val="맑은 고딕"/>
        <family val="3"/>
        <charset val="129"/>
        <scheme val="minor"/>
      </rPr>
      <t>보유</t>
    </r>
    <r>
      <rPr>
        <sz val="10"/>
        <color theme="1"/>
        <rFont val="맑은 고딕"/>
        <family val="2"/>
        <charset val="129"/>
        <scheme val="minor"/>
      </rPr>
      <t xml:space="preserve"> / </t>
    </r>
    <r>
      <rPr>
        <b/>
        <sz val="10"/>
        <color theme="1"/>
        <rFont val="맑은 고딕"/>
        <family val="3"/>
        <charset val="129"/>
        <scheme val="minor"/>
      </rPr>
      <t>미보유</t>
    </r>
    <phoneticPr fontId="2" type="noConversion"/>
  </si>
  <si>
    <t>- 마지막으로 선택한 필터를 카테고리별로 기억하여 재진입 시 그대로 적용</t>
    <phoneticPr fontId="2" type="noConversion"/>
  </si>
  <si>
    <t>NAMECARD_FILTER_ALL</t>
    <phoneticPr fontId="2" type="noConversion"/>
  </si>
  <si>
    <t>전체</t>
    <phoneticPr fontId="2" type="noConversion"/>
  </si>
  <si>
    <t>보유</t>
    <phoneticPr fontId="2" type="noConversion"/>
  </si>
  <si>
    <t>미보유</t>
    <phoneticPr fontId="2" type="noConversion"/>
  </si>
  <si>
    <t>② 명함 목록</t>
    <phoneticPr fontId="2" type="noConversion"/>
  </si>
  <si>
    <t>- 기본 지급 명함</t>
    <phoneticPr fontId="2" type="noConversion"/>
  </si>
  <si>
    <t>→ 튜토리얼 완료 시 기본 명함 1종 자동 지급</t>
    <phoneticPr fontId="2" type="noConversion"/>
  </si>
  <si>
    <t>- 명함 정렬 규칙</t>
    <phoneticPr fontId="2" type="noConversion"/>
  </si>
  <si>
    <r>
      <t xml:space="preserve">ㄴ 동일 세션 내 카테고리 이동 및 명함 상세 이동 시, </t>
    </r>
    <r>
      <rPr>
        <b/>
        <sz val="10"/>
        <color theme="1"/>
        <rFont val="맑은 고딕"/>
        <family val="3"/>
        <charset val="129"/>
        <scheme val="minor"/>
      </rPr>
      <t>현재 스크롤 유지</t>
    </r>
    <phoneticPr fontId="2" type="noConversion"/>
  </si>
  <si>
    <r>
      <t xml:space="preserve">- </t>
    </r>
    <r>
      <rPr>
        <b/>
        <sz val="10"/>
        <color theme="1"/>
        <rFont val="맑은 고딕"/>
        <family val="3"/>
        <charset val="129"/>
        <scheme val="minor"/>
      </rPr>
      <t>재진입</t>
    </r>
    <r>
      <rPr>
        <b/>
        <sz val="10"/>
        <color theme="1"/>
        <rFont val="맑은 고딕"/>
        <family val="2"/>
        <charset val="129"/>
        <scheme val="minor"/>
      </rPr>
      <t>/ 앱 재시작</t>
    </r>
    <r>
      <rPr>
        <sz val="10"/>
        <color theme="1"/>
        <rFont val="맑은 고딕"/>
        <family val="2"/>
        <charset val="129"/>
        <scheme val="minor"/>
      </rPr>
      <t>: 다시 장착 중 명함으로 스크롤 앵커</t>
    </r>
    <phoneticPr fontId="2" type="noConversion"/>
  </si>
  <si>
    <t>- UI 표시 상태</t>
    <phoneticPr fontId="2" type="noConversion"/>
  </si>
  <si>
    <r>
      <t xml:space="preserve">→ 명함 선택 시 우측의 </t>
    </r>
    <r>
      <rPr>
        <b/>
        <sz val="10"/>
        <color theme="1"/>
        <rFont val="맑은 고딕"/>
        <family val="3"/>
        <charset val="129"/>
        <scheme val="minor"/>
      </rPr>
      <t>명함 상세 구역</t>
    </r>
    <r>
      <rPr>
        <sz val="10"/>
        <color theme="1"/>
        <rFont val="맑은 고딕"/>
        <family val="2"/>
        <charset val="129"/>
        <scheme val="minor"/>
      </rPr>
      <t>에 정보 표시 (보유, 미보유, 히든 포함)</t>
    </r>
    <phoneticPr fontId="2" type="noConversion"/>
  </si>
  <si>
    <t>장착 중</t>
    <phoneticPr fontId="2" type="noConversion"/>
  </si>
  <si>
    <t>선택됨(터치)</t>
    <phoneticPr fontId="2" type="noConversion"/>
  </si>
  <si>
    <t>보유 명함</t>
    <phoneticPr fontId="2" type="noConversion"/>
  </si>
  <si>
    <t>미보유 명함</t>
    <phoneticPr fontId="2" type="noConversion"/>
  </si>
  <si>
    <t>히든 명함</t>
    <phoneticPr fontId="2" type="noConversion"/>
  </si>
  <si>
    <t>신규 획득</t>
    <phoneticPr fontId="2" type="noConversion"/>
  </si>
  <si>
    <t>구분</t>
    <phoneticPr fontId="2" type="noConversion"/>
  </si>
  <si>
    <t>굵은 테두리 + '장착중' 칩</t>
    <phoneticPr fontId="2" type="noConversion"/>
  </si>
  <si>
    <t>기본 상태 (활성)</t>
    <phoneticPr fontId="2" type="noConversion"/>
  </si>
  <si>
    <t>비활성 상태 + 이름 '???' 표시</t>
    <phoneticPr fontId="2" type="noConversion"/>
  </si>
  <si>
    <t>우상단에 레드닷, 첫 확인 및 터치 시 레드닷 제거</t>
    <phoneticPr fontId="2" type="noConversion"/>
  </si>
  <si>
    <t>장착 중의 테두리와 시각적으로 구분되는 다른 테두리</t>
    <phoneticPr fontId="2" type="noConversion"/>
  </si>
  <si>
    <t>- UI 진입 및 복귀 스크롤 표시 규칙:</t>
    <phoneticPr fontId="2" type="noConversion"/>
  </si>
  <si>
    <t>① 장착 중 명함 有</t>
    <phoneticPr fontId="2" type="noConversion"/>
  </si>
  <si>
    <r>
      <t xml:space="preserve">- 해당 카테고리에서 </t>
    </r>
    <r>
      <rPr>
        <b/>
        <sz val="10"/>
        <color theme="1"/>
        <rFont val="맑은 고딕"/>
        <family val="3"/>
        <charset val="129"/>
        <scheme val="minor"/>
      </rPr>
      <t>장착 중 명함</t>
    </r>
    <r>
      <rPr>
        <sz val="10"/>
        <color theme="1"/>
        <rFont val="맑은 고딕"/>
        <family val="2"/>
        <charset val="129"/>
        <scheme val="minor"/>
      </rPr>
      <t xml:space="preserve">을 </t>
    </r>
    <r>
      <rPr>
        <b/>
        <sz val="10"/>
        <color theme="1"/>
        <rFont val="맑은 고딕"/>
        <family val="3"/>
        <charset val="129"/>
        <scheme val="minor"/>
      </rPr>
      <t>첫 줄</t>
    </r>
    <r>
      <rPr>
        <sz val="10"/>
        <color theme="1"/>
        <rFont val="맑은 고딕"/>
        <family val="2"/>
        <charset val="129"/>
        <scheme val="minor"/>
      </rPr>
      <t>(상단)에 오도록 자동 스크롤</t>
    </r>
    <phoneticPr fontId="2" type="noConversion"/>
  </si>
  <si>
    <r>
      <t xml:space="preserve">* 필터 결과가 비어있는 경우, 명함 목록 구역에 목록 대신 </t>
    </r>
    <r>
      <rPr>
        <b/>
        <sz val="10"/>
        <color theme="1"/>
        <rFont val="맑은 고딕"/>
        <family val="3"/>
        <charset val="129"/>
        <scheme val="minor"/>
      </rPr>
      <t>"해당 조건의 명함이 없습니다"</t>
    </r>
    <r>
      <rPr>
        <sz val="10"/>
        <color theme="1"/>
        <rFont val="맑은 고딕"/>
        <family val="2"/>
        <charset val="129"/>
        <scheme val="minor"/>
      </rPr>
      <t xml:space="preserve"> 표시</t>
    </r>
    <phoneticPr fontId="2" type="noConversion"/>
  </si>
  <si>
    <t>NAMECARD_FILTER_HOLD</t>
    <phoneticPr fontId="2" type="noConversion"/>
  </si>
  <si>
    <t>NAMECARD_FILTER_NOT_HOLD</t>
    <phoneticPr fontId="2" type="noConversion"/>
  </si>
  <si>
    <t>NAMECARD_FILTER_</t>
    <phoneticPr fontId="2" type="noConversion"/>
  </si>
  <si>
    <t>해당 조건의 명함이 없습니다</t>
    <phoneticPr fontId="2" type="noConversion"/>
  </si>
  <si>
    <t>- 장착 중 명함이 필터로 걸러진 경우: 필터 결과 내에서 SORT 값으로 정렬</t>
    <phoneticPr fontId="2" type="noConversion"/>
  </si>
  <si>
    <t>② 장착 중 명함 無</t>
    <phoneticPr fontId="2" type="noConversion"/>
  </si>
  <si>
    <t>- 같은 카테고리에서 사용자가 마지막에 선택한 명함을 첫 줄에 정렬</t>
    <phoneticPr fontId="2" type="noConversion"/>
  </si>
  <si>
    <t>→ SORT 컬럼의 순서에 따라 명함 정렬</t>
    <phoneticPr fontId="2" type="noConversion"/>
  </si>
  <si>
    <t xml:space="preserve"> - 동일 세션 내 왕복: 현 스크롤 유지</t>
    <phoneticPr fontId="2" type="noConversion"/>
  </si>
  <si>
    <t xml:space="preserve"> - 재진입/앱 재시작: 위 우선순위로 자동 스크롤 앵커</t>
    <phoneticPr fontId="2" type="noConversion"/>
  </si>
  <si>
    <t xml:space="preserve"> - 앵커 정렬은 리스트 순서를 바꾸지 않고, 뷰포트만 이동(상단 정렬)</t>
    <phoneticPr fontId="2" type="noConversion"/>
  </si>
  <si>
    <t xml:space="preserve"> 명함 상세</t>
    <phoneticPr fontId="2" type="noConversion"/>
  </si>
  <si>
    <t>① 명함 상세</t>
    <phoneticPr fontId="2" type="noConversion"/>
  </si>
  <si>
    <t>- NAMECARD 테이블의 ID를 판단하여 NAMECARD_NAME 출력</t>
    <phoneticPr fontId="2" type="noConversion"/>
  </si>
  <si>
    <t>NAMECARD_NAME_{ID}</t>
    <phoneticPr fontId="2" type="noConversion"/>
  </si>
  <si>
    <t>NAMECARD_IMAGE_{ID}</t>
    <phoneticPr fontId="2" type="noConversion"/>
  </si>
  <si>
    <t>- NAMECARD 테이블의 ID를 판단하여 NAMECARD_IMAGE 출력</t>
    <phoneticPr fontId="2" type="noConversion"/>
  </si>
  <si>
    <t>② 명함 이미지</t>
    <phoneticPr fontId="2" type="noConversion"/>
  </si>
  <si>
    <t>③ 명함 설명</t>
    <phoneticPr fontId="2" type="noConversion"/>
  </si>
  <si>
    <t>- NAMECARD 테이블의 ID를 판단하여 NAMECARD_DESC 출력</t>
    <phoneticPr fontId="2" type="noConversion"/>
  </si>
  <si>
    <t>NAMECARD_DESC_{ID}</t>
    <phoneticPr fontId="2" type="noConversion"/>
  </si>
  <si>
    <t>④ 명함 획득 조건</t>
    <phoneticPr fontId="2" type="noConversion"/>
  </si>
  <si>
    <t>① 명함 이름</t>
    <phoneticPr fontId="2" type="noConversion"/>
  </si>
  <si>
    <t>- NAMECARD 테이블의 ID를 판단하여 CONDITION_GROUP 출력</t>
    <phoneticPr fontId="2" type="noConversion"/>
  </si>
  <si>
    <t>⑤ 명함 옵션</t>
    <phoneticPr fontId="2" type="noConversion"/>
  </si>
  <si>
    <t>- NAMECARD 테이블의 ID를 판단하여 OPTION_GROUP 출력</t>
    <phoneticPr fontId="2" type="noConversion"/>
  </si>
  <si>
    <t>- SORT 컬럼의 순서에 따라 획득 조건 정렬</t>
    <phoneticPr fontId="2" type="noConversion"/>
  </si>
  <si>
    <t>⑥ 보상</t>
    <phoneticPr fontId="2" type="noConversion"/>
  </si>
  <si>
    <t>- NAMECARD 테이블의 ID를 판단하여 REWARD_GROUP 출력</t>
    <phoneticPr fontId="2" type="noConversion"/>
  </si>
  <si>
    <t>- REWARD 테이블의 REWARD_GROUP를 판단</t>
    <phoneticPr fontId="2" type="noConversion"/>
  </si>
  <si>
    <t>- REWARD_GROUP 컬럼 내 ITEM_ID를 판단 후 ITEM_ICON 출력</t>
    <phoneticPr fontId="2" type="noConversion"/>
  </si>
  <si>
    <t>- 아이템 개수가 1개일 경우, UI 상 개수는 따로 표기하지 않는다</t>
    <phoneticPr fontId="2" type="noConversion"/>
  </si>
  <si>
    <t>아이템 개수</t>
    <phoneticPr fontId="2" type="noConversion"/>
  </si>
  <si>
    <t>비활성 상태 + 이름 노출 (획득 경로를 유도하기 위함)</t>
    <phoneticPr fontId="2" type="noConversion"/>
  </si>
  <si>
    <t>정리하자면,</t>
    <phoneticPr fontId="2" type="noConversion"/>
  </si>
  <si>
    <r>
      <t xml:space="preserve">- </t>
    </r>
    <r>
      <rPr>
        <b/>
        <sz val="10"/>
        <color theme="1"/>
        <rFont val="맑은 고딕"/>
        <family val="3"/>
        <charset val="129"/>
        <scheme val="minor"/>
      </rPr>
      <t>보유 명함</t>
    </r>
    <r>
      <rPr>
        <sz val="10"/>
        <color theme="1"/>
        <rFont val="맑은 고딕"/>
        <family val="2"/>
        <charset val="129"/>
        <scheme val="minor"/>
      </rPr>
      <t xml:space="preserve">, </t>
    </r>
    <r>
      <rPr>
        <b/>
        <sz val="10"/>
        <color theme="1"/>
        <rFont val="맑은 고딕"/>
        <family val="3"/>
        <charset val="129"/>
        <scheme val="minor"/>
      </rPr>
      <t>미보유 명함</t>
    </r>
    <r>
      <rPr>
        <sz val="10"/>
        <color theme="1"/>
        <rFont val="맑은 고딕"/>
        <family val="2"/>
        <charset val="129"/>
        <scheme val="minor"/>
      </rPr>
      <t xml:space="preserve">, </t>
    </r>
    <r>
      <rPr>
        <b/>
        <sz val="10"/>
        <color theme="1"/>
        <rFont val="맑은 고딕"/>
        <family val="3"/>
        <charset val="129"/>
        <scheme val="minor"/>
      </rPr>
      <t>히든 명함</t>
    </r>
    <r>
      <rPr>
        <sz val="10"/>
        <color theme="1"/>
        <rFont val="맑은 고딕"/>
        <family val="2"/>
        <charset val="129"/>
        <scheme val="minor"/>
      </rPr>
      <t xml:space="preserve"> 3가지 UI 필요</t>
    </r>
    <phoneticPr fontId="2" type="noConversion"/>
  </si>
  <si>
    <t>- 상태별 표시 규칙</t>
    <phoneticPr fontId="2" type="noConversion"/>
  </si>
  <si>
    <t>보유 (미장착)</t>
    <phoneticPr fontId="2" type="noConversion"/>
  </si>
  <si>
    <t>히든 (미해금)</t>
    <phoneticPr fontId="2" type="noConversion"/>
  </si>
  <si>
    <t>컬러</t>
    <phoneticPr fontId="2" type="noConversion"/>
  </si>
  <si>
    <t>저채도</t>
    <phoneticPr fontId="2" type="noConversion"/>
  </si>
  <si>
    <t>실루엣</t>
    <phoneticPr fontId="2" type="noConversion"/>
  </si>
  <si>
    <t>IMAGE</t>
    <phoneticPr fontId="2" type="noConversion"/>
  </si>
  <si>
    <t>NAME</t>
    <phoneticPr fontId="2" type="noConversion"/>
  </si>
  <si>
    <t>실명</t>
    <phoneticPr fontId="2" type="noConversion"/>
  </si>
  <si>
    <t>???</t>
    <phoneticPr fontId="2" type="noConversion"/>
  </si>
  <si>
    <t>모두 표시</t>
    <phoneticPr fontId="2" type="noConversion"/>
  </si>
  <si>
    <t>힌트 표시</t>
    <phoneticPr fontId="2" type="noConversion"/>
  </si>
  <si>
    <t>없음</t>
    <phoneticPr fontId="2" type="noConversion"/>
  </si>
  <si>
    <t>BUTTON</t>
    <phoneticPr fontId="2" type="noConversion"/>
  </si>
  <si>
    <t>해제</t>
    <phoneticPr fontId="2" type="noConversion"/>
  </si>
  <si>
    <t>장착</t>
    <phoneticPr fontId="2" type="noConversion"/>
  </si>
  <si>
    <t>장착(비활성), 수령</t>
    <phoneticPr fontId="2" type="noConversion"/>
  </si>
  <si>
    <t>장착(비활성)</t>
    <phoneticPr fontId="2" type="noConversion"/>
  </si>
  <si>
    <t>ㄴ 추후 이벤트 관련 상태 추가 예정</t>
    <phoneticPr fontId="2" type="noConversion"/>
  </si>
  <si>
    <t>② 장착/해제 버튼</t>
    <phoneticPr fontId="2" type="noConversion"/>
  </si>
  <si>
    <r>
      <t>-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 xml:space="preserve">상태에 따라 </t>
    </r>
    <r>
      <rPr>
        <b/>
        <sz val="10"/>
        <color theme="1"/>
        <rFont val="맑은 고딕"/>
        <family val="2"/>
        <charset val="129"/>
        <scheme val="minor"/>
      </rPr>
      <t>해제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 xml:space="preserve">/ </t>
    </r>
    <r>
      <rPr>
        <b/>
        <sz val="10"/>
        <color theme="1"/>
        <rFont val="맑은 고딕"/>
        <family val="2"/>
        <charset val="129"/>
        <scheme val="minor"/>
      </rPr>
      <t>장착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 xml:space="preserve">/ </t>
    </r>
    <r>
      <rPr>
        <b/>
        <sz val="10"/>
        <color theme="1"/>
        <rFont val="맑은 고딕"/>
        <family val="2"/>
        <charset val="129"/>
        <scheme val="minor"/>
      </rPr>
      <t>수령 버튼</t>
    </r>
    <r>
      <rPr>
        <sz val="10"/>
        <color theme="1"/>
        <rFont val="맑은 고딕"/>
        <family val="3"/>
        <charset val="129"/>
        <scheme val="minor"/>
      </rPr>
      <t xml:space="preserve"> 전환</t>
    </r>
    <phoneticPr fontId="2" type="noConversion"/>
  </si>
  <si>
    <t>→ 아이콘 터치 시 아이템 툴팁 출력</t>
    <phoneticPr fontId="2" type="noConversion"/>
  </si>
  <si>
    <t>EOD</t>
    <phoneticPr fontId="2" type="noConversion"/>
  </si>
  <si>
    <t>[이동]</t>
    <phoneticPr fontId="2" type="noConversion"/>
  </si>
  <si>
    <t>NAMECARD_BUTTON_</t>
    <phoneticPr fontId="2" type="noConversion"/>
  </si>
  <si>
    <t>PARAM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</si>
</sst>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2" x14ac:knownFonts="1"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0" tint="-0.34998626667073579"/>
      <name val="맑은 고딕"/>
      <family val="2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i/>
      <sz val="9"/>
      <color theme="0" tint="-0.34998626667073579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10"/>
      <color theme="0" tint="-0.499984740745262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i/>
      <sz val="8"/>
      <color theme="0" tint="-0.34998626667073579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sz val="10"/>
      <color rgb="FFE74F7E"/>
      <name val="맑은 고딕"/>
      <family val="3"/>
      <charset val="129"/>
      <scheme val="minor"/>
    </font>
    <font>
      <sz val="10"/>
      <color rgb="FFE74F7E"/>
      <name val="맑은 고딕"/>
      <family val="3"/>
      <charset val="129"/>
      <scheme val="minor"/>
    </font>
    <font>
      <b/>
      <sz val="10"/>
      <color rgb="FFB88800"/>
      <name val="맑은 고딕"/>
      <family val="3"/>
      <charset val="129"/>
      <scheme val="minor"/>
    </font>
    <font>
      <sz val="8"/>
      <color theme="0" tint="-0.34998626667073579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8" tint="-0.249977111117893"/>
      <name val="맑은 고딕"/>
      <family val="3"/>
      <charset val="129"/>
      <scheme val="minor"/>
    </font>
    <font>
      <b/>
      <sz val="10"/>
      <color theme="9" tint="-0.249977111117893"/>
      <name val="맑은 고딕"/>
      <family val="3"/>
      <charset val="129"/>
      <scheme val="minor"/>
    </font>
    <font>
      <b/>
      <sz val="10"/>
      <color theme="5" tint="-0.249977111117893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b/>
      <u/>
      <sz val="10"/>
      <color theme="1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8E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74F7E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6" fillId="2" borderId="5" xfId="0" applyFont="1" applyFill="1" applyBorder="1">
      <alignment vertical="center"/>
    </xf>
    <xf numFmtId="0" fontId="0" fillId="2" borderId="5" xfId="0" applyFill="1" applyBorder="1">
      <alignment vertical="center"/>
    </xf>
    <xf numFmtId="0" fontId="7" fillId="2" borderId="0" xfId="0" quotePrefix="1" applyFont="1" applyFill="1">
      <alignment vertical="center"/>
    </xf>
    <xf numFmtId="0" fontId="7" fillId="2" borderId="0" xfId="0" applyFont="1" applyFill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>
      <alignment vertical="center"/>
    </xf>
    <xf numFmtId="0" fontId="0" fillId="5" borderId="3" xfId="0" applyFill="1" applyBorder="1">
      <alignment vertical="center"/>
    </xf>
    <xf numFmtId="0" fontId="5" fillId="5" borderId="3" xfId="0" applyFont="1" applyFill="1" applyBorder="1">
      <alignment vertical="center"/>
    </xf>
    <xf numFmtId="0" fontId="3" fillId="5" borderId="3" xfId="0" applyFont="1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2" borderId="0" xfId="0" quotePrefix="1" applyFill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0" fillId="5" borderId="2" xfId="0" applyFill="1" applyBorder="1">
      <alignment vertical="center"/>
    </xf>
    <xf numFmtId="0" fontId="1" fillId="5" borderId="3" xfId="0" applyFont="1" applyFill="1" applyBorder="1" applyAlignment="1">
      <alignment horizontal="center" vertical="center"/>
    </xf>
    <xf numFmtId="0" fontId="10" fillId="2" borderId="5" xfId="0" applyFont="1" applyFill="1" applyBorder="1">
      <alignment vertical="center"/>
    </xf>
    <xf numFmtId="0" fontId="7" fillId="0" borderId="1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3" fillId="6" borderId="1" xfId="1" applyFont="1" applyFill="1" applyBorder="1" applyAlignment="1">
      <alignment horizontal="center" vertical="center"/>
    </xf>
    <xf numFmtId="0" fontId="14" fillId="7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13" fillId="6" borderId="1" xfId="1" applyFont="1" applyFill="1" applyBorder="1" applyAlignment="1">
      <alignment horizontal="left" vertical="center"/>
    </xf>
    <xf numFmtId="0" fontId="7" fillId="3" borderId="1" xfId="1" applyFont="1" applyFill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8" borderId="1" xfId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8" fillId="2" borderId="0" xfId="0" applyFont="1" applyFill="1">
      <alignment vertical="center"/>
    </xf>
    <xf numFmtId="0" fontId="19" fillId="2" borderId="0" xfId="0" applyFont="1" applyFill="1">
      <alignment vertical="center"/>
    </xf>
    <xf numFmtId="0" fontId="0" fillId="8" borderId="3" xfId="0" applyFill="1" applyBorder="1">
      <alignment vertical="center"/>
    </xf>
    <xf numFmtId="0" fontId="0" fillId="8" borderId="4" xfId="0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3" borderId="4" xfId="0" applyFont="1" applyFill="1" applyBorder="1">
      <alignment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>
      <alignment vertical="center"/>
    </xf>
    <xf numFmtId="0" fontId="8" fillId="8" borderId="2" xfId="0" applyFont="1" applyFill="1" applyBorder="1">
      <alignment vertical="center"/>
    </xf>
    <xf numFmtId="0" fontId="15" fillId="8" borderId="2" xfId="0" applyFont="1" applyFill="1" applyBorder="1">
      <alignment vertical="center"/>
    </xf>
    <xf numFmtId="0" fontId="13" fillId="13" borderId="1" xfId="0" applyFont="1" applyFill="1" applyBorder="1" applyAlignment="1">
      <alignment horizontal="center" vertical="center"/>
    </xf>
    <xf numFmtId="176" fontId="17" fillId="3" borderId="1" xfId="0" quotePrefix="1" applyNumberFormat="1" applyFont="1" applyFill="1" applyBorder="1" applyAlignment="1">
      <alignment horizontal="center" vertical="center"/>
    </xf>
    <xf numFmtId="0" fontId="0" fillId="8" borderId="9" xfId="0" applyFill="1" applyBorder="1">
      <alignment vertical="center"/>
    </xf>
    <xf numFmtId="0" fontId="0" fillId="8" borderId="5" xfId="0" applyFill="1" applyBorder="1">
      <alignment vertical="center"/>
    </xf>
    <xf numFmtId="0" fontId="0" fillId="8" borderId="5" xfId="0" applyFill="1" applyBorder="1" applyAlignment="1">
      <alignment horizontal="center" vertical="center"/>
    </xf>
    <xf numFmtId="0" fontId="0" fillId="8" borderId="10" xfId="0" applyFill="1" applyBorder="1">
      <alignment vertical="center"/>
    </xf>
    <xf numFmtId="0" fontId="21" fillId="2" borderId="0" xfId="0" applyFont="1" applyFill="1">
      <alignment vertical="center"/>
    </xf>
    <xf numFmtId="0" fontId="22" fillId="2" borderId="0" xfId="0" applyFont="1" applyFill="1">
      <alignment vertical="center"/>
    </xf>
    <xf numFmtId="0" fontId="23" fillId="2" borderId="0" xfId="0" applyFont="1" applyFill="1">
      <alignment vertical="center"/>
    </xf>
    <xf numFmtId="0" fontId="24" fillId="2" borderId="0" xfId="0" applyFont="1" applyFill="1">
      <alignment vertical="center"/>
    </xf>
    <xf numFmtId="0" fontId="1" fillId="2" borderId="9" xfId="0" applyFont="1" applyFill="1" applyBorder="1">
      <alignment vertical="center"/>
    </xf>
    <xf numFmtId="0" fontId="1" fillId="2" borderId="0" xfId="0" quotePrefix="1" applyFont="1" applyFill="1">
      <alignment vertical="center"/>
    </xf>
    <xf numFmtId="0" fontId="8" fillId="8" borderId="5" xfId="0" applyFont="1" applyFill="1" applyBorder="1" applyAlignment="1">
      <alignment horizontal="center" vertical="center"/>
    </xf>
    <xf numFmtId="0" fontId="15" fillId="8" borderId="5" xfId="0" applyFont="1" applyFill="1" applyBorder="1">
      <alignment vertical="center"/>
    </xf>
    <xf numFmtId="0" fontId="15" fillId="8" borderId="10" xfId="0" applyFont="1" applyFill="1" applyBorder="1">
      <alignment vertical="center"/>
    </xf>
    <xf numFmtId="0" fontId="30" fillId="2" borderId="0" xfId="0" applyFont="1" applyFill="1">
      <alignment vertical="center"/>
    </xf>
    <xf numFmtId="0" fontId="0" fillId="3" borderId="2" xfId="0" quotePrefix="1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1" fillId="3" borderId="2" xfId="0" quotePrefix="1" applyFont="1" applyFill="1" applyBorder="1">
      <alignment vertical="center"/>
    </xf>
    <xf numFmtId="0" fontId="1" fillId="3" borderId="3" xfId="0" quotePrefix="1" applyFont="1" applyFill="1" applyBorder="1">
      <alignment vertical="center"/>
    </xf>
    <xf numFmtId="0" fontId="0" fillId="3" borderId="2" xfId="0" quotePrefix="1" applyFill="1" applyBorder="1" applyAlignment="1">
      <alignment horizontal="left" vertical="center"/>
    </xf>
    <xf numFmtId="0" fontId="0" fillId="3" borderId="3" xfId="0" quotePrefix="1" applyFill="1" applyBorder="1" applyAlignment="1">
      <alignment horizontal="left" vertical="center"/>
    </xf>
    <xf numFmtId="0" fontId="0" fillId="3" borderId="3" xfId="0" quotePrefix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3" borderId="10" xfId="0" applyFill="1" applyBorder="1">
      <alignment vertical="center"/>
    </xf>
    <xf numFmtId="0" fontId="1" fillId="3" borderId="4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17" fillId="3" borderId="2" xfId="0" quotePrefix="1" applyFont="1" applyFill="1" applyBorder="1" applyAlignment="1">
      <alignment horizontal="left" vertical="center"/>
    </xf>
    <xf numFmtId="0" fontId="17" fillId="3" borderId="3" xfId="0" quotePrefix="1" applyFont="1" applyFill="1" applyBorder="1" applyAlignment="1">
      <alignment horizontal="left" vertical="center"/>
    </xf>
    <xf numFmtId="0" fontId="17" fillId="3" borderId="3" xfId="0" quotePrefix="1" applyFont="1" applyFill="1" applyBorder="1" applyAlignment="1">
      <alignment horizontal="center" vertical="center"/>
    </xf>
    <xf numFmtId="0" fontId="17" fillId="3" borderId="4" xfId="0" applyFont="1" applyFill="1" applyBorder="1">
      <alignment vertical="center"/>
    </xf>
    <xf numFmtId="0" fontId="15" fillId="8" borderId="3" xfId="0" applyFont="1" applyFill="1" applyBorder="1" applyAlignment="1">
      <alignment horizontal="center" vertical="center"/>
    </xf>
    <xf numFmtId="0" fontId="15" fillId="8" borderId="4" xfId="0" applyFont="1" applyFill="1" applyBorder="1">
      <alignment vertical="center"/>
    </xf>
    <xf numFmtId="0" fontId="15" fillId="8" borderId="3" xfId="0" applyFont="1" applyFill="1" applyBorder="1">
      <alignment vertical="center"/>
    </xf>
    <xf numFmtId="0" fontId="17" fillId="3" borderId="2" xfId="0" quotePrefix="1" applyFont="1" applyFill="1" applyBorder="1">
      <alignment vertical="center"/>
    </xf>
    <xf numFmtId="0" fontId="17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0" fontId="31" fillId="2" borderId="11" xfId="2" applyFont="1" applyFill="1" applyBorder="1" applyAlignment="1">
      <alignment horizontal="center" vertical="center"/>
    </xf>
    <xf numFmtId="0" fontId="31" fillId="2" borderId="0" xfId="2" applyFont="1" applyFill="1" applyAlignment="1">
      <alignment horizontal="center" vertical="center"/>
    </xf>
  </cellXfs>
  <cellStyles count="3">
    <cellStyle name="표준" xfId="0" builtinId="0"/>
    <cellStyle name="표준 2" xfId="1" xr:uid="{CABA39FD-3ACA-4892-8D5A-AFBB2E91EDC1}"/>
    <cellStyle name="하이퍼링크" xfId="2" builtinId="8"/>
  </cellStyles>
  <dxfs count="6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74F7E"/>
      <color rgb="FFB88800"/>
      <color rgb="FF2B303D"/>
      <color rgb="FFF26A9E"/>
      <color rgb="FFFFF6DD"/>
      <color rgb="FFEC5A8E"/>
      <color rgb="FFF5ED8B"/>
      <color rgb="FFFCE8EF"/>
      <color rgb="FFDCAD28"/>
      <color rgb="FFE5C2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32</xdr:row>
      <xdr:rowOff>0</xdr:rowOff>
    </xdr:from>
    <xdr:to>
      <xdr:col>38</xdr:col>
      <xdr:colOff>104774</xdr:colOff>
      <xdr:row>57</xdr:row>
      <xdr:rowOff>85723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69B8D41-6DF9-4BEE-A793-F093EE20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7226" y="5610225"/>
          <a:ext cx="7772398" cy="4371973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64</xdr:row>
      <xdr:rowOff>0</xdr:rowOff>
    </xdr:from>
    <xdr:to>
      <xdr:col>38</xdr:col>
      <xdr:colOff>104774</xdr:colOff>
      <xdr:row>89</xdr:row>
      <xdr:rowOff>85723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2F274BB-3746-4CF7-A9E2-1D75FDDB4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7226" y="10972800"/>
          <a:ext cx="7772398" cy="4371973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32</xdr:row>
      <xdr:rowOff>0</xdr:rowOff>
    </xdr:from>
    <xdr:to>
      <xdr:col>50</xdr:col>
      <xdr:colOff>95250</xdr:colOff>
      <xdr:row>57</xdr:row>
      <xdr:rowOff>88913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A4D4F336-D597-47CC-A290-E05CE8DB1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5305425"/>
          <a:ext cx="2286000" cy="4375163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42</xdr:row>
      <xdr:rowOff>0</xdr:rowOff>
    </xdr:from>
    <xdr:to>
      <xdr:col>54</xdr:col>
      <xdr:colOff>0</xdr:colOff>
      <xdr:row>46</xdr:row>
      <xdr:rowOff>164420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97D2D89C-02C5-4A3E-83FC-3715F5234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2825" y="7019925"/>
          <a:ext cx="657225" cy="850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39</xdr:col>
      <xdr:colOff>104773</xdr:colOff>
      <xdr:row>34</xdr:row>
      <xdr:rowOff>50344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E084B6C6-36BE-4056-8DA4-E875E4005A5C}"/>
            </a:ext>
          </a:extLst>
        </xdr:cNvPr>
        <xdr:cNvGrpSpPr/>
      </xdr:nvGrpSpPr>
      <xdr:grpSpPr>
        <a:xfrm>
          <a:off x="876300" y="1457325"/>
          <a:ext cx="7772398" cy="4508044"/>
          <a:chOff x="9201150" y="1438275"/>
          <a:chExt cx="7772398" cy="4508044"/>
        </a:xfrm>
      </xdr:grpSpPr>
      <xdr:pic>
        <xdr:nvPicPr>
          <xdr:cNvPr id="24" name="그림 23">
            <a:extLst>
              <a:ext uri="{FF2B5EF4-FFF2-40B4-BE49-F238E27FC236}">
                <a16:creationId xmlns:a16="http://schemas.microsoft.com/office/drawing/2014/main" id="{0546C550-9901-5B16-1420-B75632F7978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90632"/>
          <a:stretch>
            <a:fillRect/>
          </a:stretch>
        </xdr:blipFill>
        <xdr:spPr>
          <a:xfrm>
            <a:off x="9201150" y="1438275"/>
            <a:ext cx="7772398" cy="409575"/>
          </a:xfrm>
          <a:prstGeom prst="rect">
            <a:avLst/>
          </a:prstGeom>
        </xdr:spPr>
      </xdr:pic>
      <xdr:pic>
        <xdr:nvPicPr>
          <xdr:cNvPr id="25" name="그림 24">
            <a:extLst>
              <a:ext uri="{FF2B5EF4-FFF2-40B4-BE49-F238E27FC236}">
                <a16:creationId xmlns:a16="http://schemas.microsoft.com/office/drawing/2014/main" id="{42A25964-ECAC-E43C-34A0-8DFE46746FA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7189" b="79739"/>
          <a:stretch>
            <a:fillRect/>
          </a:stretch>
        </xdr:blipFill>
        <xdr:spPr>
          <a:xfrm>
            <a:off x="9201150" y="1847850"/>
            <a:ext cx="7772398" cy="571500"/>
          </a:xfrm>
          <a:prstGeom prst="rect">
            <a:avLst/>
          </a:prstGeom>
        </xdr:spPr>
      </xdr:pic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BF8B2C39-1A25-A608-2304-6691E18A0D1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9283"/>
          <a:stretch>
            <a:fillRect/>
          </a:stretch>
        </xdr:blipFill>
        <xdr:spPr>
          <a:xfrm>
            <a:off x="9201150" y="2417989"/>
            <a:ext cx="7772398" cy="352833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114550</xdr:colOff>
      <xdr:row>8</xdr:row>
      <xdr:rowOff>66675</xdr:rowOff>
    </xdr:from>
    <xdr:to>
      <xdr:col>38</xdr:col>
      <xdr:colOff>161172</xdr:colOff>
      <xdr:row>10</xdr:row>
      <xdr:rowOff>38100</xdr:rowOff>
    </xdr:to>
    <xdr:sp macro="" textlink="">
      <xdr:nvSpPr>
        <xdr:cNvPr id="11" name="사각형: 둥근 모서리 10">
          <a:extLst>
            <a:ext uri="{FF2B5EF4-FFF2-40B4-BE49-F238E27FC236}">
              <a16:creationId xmlns:a16="http://schemas.microsoft.com/office/drawing/2014/main" id="{DFC4CE57-3B93-4027-94CC-48953EF7CA7C}"/>
            </a:ext>
          </a:extLst>
        </xdr:cNvPr>
        <xdr:cNvSpPr/>
      </xdr:nvSpPr>
      <xdr:spPr>
        <a:xfrm>
          <a:off x="771775" y="1524000"/>
          <a:ext cx="7495172" cy="314325"/>
        </a:xfrm>
        <a:prstGeom prst="roundRect">
          <a:avLst>
            <a:gd name="adj" fmla="val 0"/>
          </a:avLst>
        </a:prstGeom>
        <a:noFill/>
        <a:ln w="19050" cap="rnd" cmpd="sng">
          <a:solidFill>
            <a:srgbClr val="E74F7E"/>
          </a:solidFill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150743</xdr:colOff>
      <xdr:row>10</xdr:row>
      <xdr:rowOff>113799</xdr:rowOff>
    </xdr:from>
    <xdr:to>
      <xdr:col>38</xdr:col>
      <xdr:colOff>76200</xdr:colOff>
      <xdr:row>13</xdr:row>
      <xdr:rowOff>47625</xdr:rowOff>
    </xdr:to>
    <xdr:sp macro="" textlink="">
      <xdr:nvSpPr>
        <xdr:cNvPr id="17" name="사각형: 둥근 모서리 16">
          <a:extLst>
            <a:ext uri="{FF2B5EF4-FFF2-40B4-BE49-F238E27FC236}">
              <a16:creationId xmlns:a16="http://schemas.microsoft.com/office/drawing/2014/main" id="{25FC8FD8-10C2-4FFC-AC65-7A70BA5355C2}"/>
            </a:ext>
          </a:extLst>
        </xdr:cNvPr>
        <xdr:cNvSpPr/>
      </xdr:nvSpPr>
      <xdr:spPr>
        <a:xfrm>
          <a:off x="1027043" y="1914024"/>
          <a:ext cx="7154932" cy="448176"/>
        </a:xfrm>
        <a:prstGeom prst="roundRect">
          <a:avLst>
            <a:gd name="adj" fmla="val 0"/>
          </a:avLst>
        </a:prstGeom>
        <a:noFill/>
        <a:ln w="19050" cap="rnd" cmpd="sng">
          <a:solidFill>
            <a:srgbClr val="E74F7E"/>
          </a:solidFill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198629</xdr:colOff>
      <xdr:row>13</xdr:row>
      <xdr:rowOff>115304</xdr:rowOff>
    </xdr:from>
    <xdr:to>
      <xdr:col>28</xdr:col>
      <xdr:colOff>85725</xdr:colOff>
      <xdr:row>32</xdr:row>
      <xdr:rowOff>33130</xdr:rowOff>
    </xdr:to>
    <xdr:sp macro="" textlink="">
      <xdr:nvSpPr>
        <xdr:cNvPr id="18" name="사각형: 둥근 모서리 17">
          <a:extLst>
            <a:ext uri="{FF2B5EF4-FFF2-40B4-BE49-F238E27FC236}">
              <a16:creationId xmlns:a16="http://schemas.microsoft.com/office/drawing/2014/main" id="{47C5652C-CA18-616F-B8E5-9C6A869332FC}"/>
            </a:ext>
          </a:extLst>
        </xdr:cNvPr>
        <xdr:cNvSpPr/>
      </xdr:nvSpPr>
      <xdr:spPr>
        <a:xfrm>
          <a:off x="855854" y="2429879"/>
          <a:ext cx="5144896" cy="3175376"/>
        </a:xfrm>
        <a:prstGeom prst="roundRect">
          <a:avLst>
            <a:gd name="adj" fmla="val 0"/>
          </a:avLst>
        </a:prstGeom>
        <a:noFill/>
        <a:ln w="19050" cap="rnd" cmpd="sng">
          <a:solidFill>
            <a:srgbClr val="E74F7E"/>
          </a:solidFill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161925</xdr:colOff>
      <xdr:row>13</xdr:row>
      <xdr:rowOff>115304</xdr:rowOff>
    </xdr:from>
    <xdr:to>
      <xdr:col>38</xdr:col>
      <xdr:colOff>76200</xdr:colOff>
      <xdr:row>33</xdr:row>
      <xdr:rowOff>95250</xdr:rowOff>
    </xdr:to>
    <xdr:sp macro="" textlink="">
      <xdr:nvSpPr>
        <xdr:cNvPr id="27" name="사각형: 둥근 모서리 26">
          <a:extLst>
            <a:ext uri="{FF2B5EF4-FFF2-40B4-BE49-F238E27FC236}">
              <a16:creationId xmlns:a16="http://schemas.microsoft.com/office/drawing/2014/main" id="{5CF5D997-22ED-DE73-3E63-C7FCFF45FE1C}"/>
            </a:ext>
          </a:extLst>
        </xdr:cNvPr>
        <xdr:cNvSpPr/>
      </xdr:nvSpPr>
      <xdr:spPr>
        <a:xfrm>
          <a:off x="6076950" y="2429879"/>
          <a:ext cx="2105025" cy="3408946"/>
        </a:xfrm>
        <a:prstGeom prst="roundRect">
          <a:avLst>
            <a:gd name="adj" fmla="val 0"/>
          </a:avLst>
        </a:prstGeom>
        <a:noFill/>
        <a:ln w="19050" cap="rnd" cmpd="sng">
          <a:solidFill>
            <a:srgbClr val="E74F7E"/>
          </a:solidFill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115019</xdr:colOff>
      <xdr:row>8</xdr:row>
      <xdr:rowOff>61104</xdr:rowOff>
    </xdr:from>
    <xdr:to>
      <xdr:col>4</xdr:col>
      <xdr:colOff>124545</xdr:colOff>
      <xdr:row>9</xdr:row>
      <xdr:rowOff>119333</xdr:rowOff>
    </xdr:to>
    <xdr:sp macro="" textlink="">
      <xdr:nvSpPr>
        <xdr:cNvPr id="29" name="사각형: 둥근 모서리 28">
          <a:extLst>
            <a:ext uri="{FF2B5EF4-FFF2-40B4-BE49-F238E27FC236}">
              <a16:creationId xmlns:a16="http://schemas.microsoft.com/office/drawing/2014/main" id="{72954FDB-60BD-4663-BFA6-B0C97AC517DC}"/>
            </a:ext>
          </a:extLst>
        </xdr:cNvPr>
        <xdr:cNvSpPr/>
      </xdr:nvSpPr>
      <xdr:spPr>
        <a:xfrm>
          <a:off x="553169" y="1518429"/>
          <a:ext cx="228601" cy="229679"/>
        </a:xfrm>
        <a:prstGeom prst="roundRect">
          <a:avLst>
            <a:gd name="adj" fmla="val 0"/>
          </a:avLst>
        </a:prstGeom>
        <a:solidFill>
          <a:srgbClr val="E74F7E"/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12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152400</xdr:colOff>
      <xdr:row>10</xdr:row>
      <xdr:rowOff>105673</xdr:rowOff>
    </xdr:from>
    <xdr:to>
      <xdr:col>5</xdr:col>
      <xdr:colOff>161926</xdr:colOff>
      <xdr:row>11</xdr:row>
      <xdr:rowOff>163903</xdr:rowOff>
    </xdr:to>
    <xdr:sp macro="" textlink="">
      <xdr:nvSpPr>
        <xdr:cNvPr id="30" name="사각형: 둥근 모서리 29">
          <a:extLst>
            <a:ext uri="{FF2B5EF4-FFF2-40B4-BE49-F238E27FC236}">
              <a16:creationId xmlns:a16="http://schemas.microsoft.com/office/drawing/2014/main" id="{D2D0D6BF-1279-4AF4-8C56-2A165E2FAAD5}"/>
            </a:ext>
          </a:extLst>
        </xdr:cNvPr>
        <xdr:cNvSpPr/>
      </xdr:nvSpPr>
      <xdr:spPr>
        <a:xfrm>
          <a:off x="810164" y="1913626"/>
          <a:ext cx="228781" cy="230758"/>
        </a:xfrm>
        <a:prstGeom prst="roundRect">
          <a:avLst>
            <a:gd name="adj" fmla="val 0"/>
          </a:avLst>
        </a:prstGeom>
        <a:solidFill>
          <a:srgbClr val="E74F7E"/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2</a:t>
          </a:r>
          <a:endParaRPr lang="ko-KR" altLang="en-US" sz="12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197688</xdr:colOff>
      <xdr:row>13</xdr:row>
      <xdr:rowOff>104238</xdr:rowOff>
    </xdr:from>
    <xdr:to>
      <xdr:col>4</xdr:col>
      <xdr:colOff>207214</xdr:colOff>
      <xdr:row>14</xdr:row>
      <xdr:rowOff>162468</xdr:rowOff>
    </xdr:to>
    <xdr:sp macro="" textlink="">
      <xdr:nvSpPr>
        <xdr:cNvPr id="32" name="사각형: 둥근 모서리 31">
          <a:extLst>
            <a:ext uri="{FF2B5EF4-FFF2-40B4-BE49-F238E27FC236}">
              <a16:creationId xmlns:a16="http://schemas.microsoft.com/office/drawing/2014/main" id="{DECE1FE2-9C0E-4090-AAFA-5C6AB1E5FB90}"/>
            </a:ext>
          </a:extLst>
        </xdr:cNvPr>
        <xdr:cNvSpPr/>
      </xdr:nvSpPr>
      <xdr:spPr>
        <a:xfrm>
          <a:off x="636197" y="2429776"/>
          <a:ext cx="228781" cy="230758"/>
        </a:xfrm>
        <a:prstGeom prst="roundRect">
          <a:avLst>
            <a:gd name="adj" fmla="val 0"/>
          </a:avLst>
        </a:prstGeom>
        <a:solidFill>
          <a:srgbClr val="E74F7E"/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3</a:t>
          </a:r>
          <a:endParaRPr lang="ko-KR" altLang="en-US" sz="12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28</xdr:col>
      <xdr:colOff>150963</xdr:colOff>
      <xdr:row>13</xdr:row>
      <xdr:rowOff>104238</xdr:rowOff>
    </xdr:from>
    <xdr:to>
      <xdr:col>29</xdr:col>
      <xdr:colOff>160489</xdr:colOff>
      <xdr:row>14</xdr:row>
      <xdr:rowOff>162468</xdr:rowOff>
    </xdr:to>
    <xdr:sp macro="" textlink="">
      <xdr:nvSpPr>
        <xdr:cNvPr id="33" name="사각형: 둥근 모서리 32">
          <a:extLst>
            <a:ext uri="{FF2B5EF4-FFF2-40B4-BE49-F238E27FC236}">
              <a16:creationId xmlns:a16="http://schemas.microsoft.com/office/drawing/2014/main" id="{E45F8D2E-965C-2A87-AA02-996B064AA561}"/>
            </a:ext>
          </a:extLst>
        </xdr:cNvPr>
        <xdr:cNvSpPr/>
      </xdr:nvSpPr>
      <xdr:spPr>
        <a:xfrm>
          <a:off x="6065988" y="2418813"/>
          <a:ext cx="228601" cy="229680"/>
        </a:xfrm>
        <a:prstGeom prst="roundRect">
          <a:avLst>
            <a:gd name="adj" fmla="val 0"/>
          </a:avLst>
        </a:prstGeom>
        <a:solidFill>
          <a:srgbClr val="E74F7E"/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4</a:t>
          </a:r>
          <a:endParaRPr lang="ko-KR" altLang="en-US" sz="12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39</xdr:col>
      <xdr:colOff>104773</xdr:colOff>
      <xdr:row>66</xdr:row>
      <xdr:rowOff>9523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9DD973C2-ED0C-4943-93C4-2D6E6F1EF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7225" y="7181850"/>
          <a:ext cx="7772398" cy="4371973"/>
        </a:xfrm>
        <a:prstGeom prst="rect">
          <a:avLst/>
        </a:prstGeom>
      </xdr:spPr>
    </xdr:pic>
    <xdr:clientData/>
  </xdr:twoCellAnchor>
  <xdr:twoCellAnchor>
    <xdr:from>
      <xdr:col>4</xdr:col>
      <xdr:colOff>114550</xdr:colOff>
      <xdr:row>40</xdr:row>
      <xdr:rowOff>53196</xdr:rowOff>
    </xdr:from>
    <xdr:to>
      <xdr:col>10</xdr:col>
      <xdr:colOff>9525</xdr:colOff>
      <xdr:row>42</xdr:row>
      <xdr:rowOff>24621</xdr:rowOff>
    </xdr:to>
    <xdr:sp macro="" textlink="">
      <xdr:nvSpPr>
        <xdr:cNvPr id="35" name="사각형: 둥근 모서리 34">
          <a:extLst>
            <a:ext uri="{FF2B5EF4-FFF2-40B4-BE49-F238E27FC236}">
              <a16:creationId xmlns:a16="http://schemas.microsoft.com/office/drawing/2014/main" id="{344D3039-4BCB-DA68-C89C-793A02F25BF4}"/>
            </a:ext>
          </a:extLst>
        </xdr:cNvPr>
        <xdr:cNvSpPr/>
      </xdr:nvSpPr>
      <xdr:spPr>
        <a:xfrm>
          <a:off x="771775" y="7235046"/>
          <a:ext cx="1209425" cy="314325"/>
        </a:xfrm>
        <a:prstGeom prst="roundRect">
          <a:avLst>
            <a:gd name="adj" fmla="val 0"/>
          </a:avLst>
        </a:prstGeom>
        <a:noFill/>
        <a:ln w="19050" cap="rnd" cmpd="sng">
          <a:solidFill>
            <a:srgbClr val="E74F7E"/>
          </a:solidFill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40208</xdr:colOff>
      <xdr:row>40</xdr:row>
      <xdr:rowOff>39257</xdr:rowOff>
    </xdr:from>
    <xdr:to>
      <xdr:col>4</xdr:col>
      <xdr:colOff>213731</xdr:colOff>
      <xdr:row>41</xdr:row>
      <xdr:rowOff>42571</xdr:rowOff>
    </xdr:to>
    <xdr:sp macro="" textlink="">
      <xdr:nvSpPr>
        <xdr:cNvPr id="38" name="사각형: 둥근 모서리 37">
          <a:extLst>
            <a:ext uri="{FF2B5EF4-FFF2-40B4-BE49-F238E27FC236}">
              <a16:creationId xmlns:a16="http://schemas.microsoft.com/office/drawing/2014/main" id="{E6EC243D-AD7B-4CE2-9D7D-E77ECA0C051A}"/>
            </a:ext>
          </a:extLst>
        </xdr:cNvPr>
        <xdr:cNvSpPr/>
      </xdr:nvSpPr>
      <xdr:spPr>
        <a:xfrm>
          <a:off x="695342" y="7236440"/>
          <a:ext cx="173523" cy="175229"/>
        </a:xfrm>
        <a:prstGeom prst="roundRect">
          <a:avLst>
            <a:gd name="adj" fmla="val 50000"/>
          </a:avLst>
        </a:prstGeom>
        <a:solidFill>
          <a:srgbClr val="F26A9E"/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10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35</xdr:col>
      <xdr:colOff>105277</xdr:colOff>
      <xdr:row>40</xdr:row>
      <xdr:rowOff>53196</xdr:rowOff>
    </xdr:from>
    <xdr:to>
      <xdr:col>39</xdr:col>
      <xdr:colOff>14869</xdr:colOff>
      <xdr:row>42</xdr:row>
      <xdr:rowOff>24621</xdr:rowOff>
    </xdr:to>
    <xdr:sp macro="" textlink="">
      <xdr:nvSpPr>
        <xdr:cNvPr id="39" name="사각형: 둥근 모서리 38">
          <a:extLst>
            <a:ext uri="{FF2B5EF4-FFF2-40B4-BE49-F238E27FC236}">
              <a16:creationId xmlns:a16="http://schemas.microsoft.com/office/drawing/2014/main" id="{9DE4A335-989C-1DC9-F749-8E85910E8D3D}"/>
            </a:ext>
          </a:extLst>
        </xdr:cNvPr>
        <xdr:cNvSpPr/>
      </xdr:nvSpPr>
      <xdr:spPr>
        <a:xfrm>
          <a:off x="7604961" y="7206972"/>
          <a:ext cx="791908" cy="312320"/>
        </a:xfrm>
        <a:prstGeom prst="roundRect">
          <a:avLst>
            <a:gd name="adj" fmla="val 0"/>
          </a:avLst>
        </a:prstGeom>
        <a:noFill/>
        <a:ln w="19050" cap="rnd" cmpd="sng">
          <a:solidFill>
            <a:srgbClr val="E74F7E"/>
          </a:solidFill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10460</xdr:colOff>
      <xdr:row>40</xdr:row>
      <xdr:rowOff>39257</xdr:rowOff>
    </xdr:from>
    <xdr:to>
      <xdr:col>35</xdr:col>
      <xdr:colOff>185487</xdr:colOff>
      <xdr:row>41</xdr:row>
      <xdr:rowOff>42571</xdr:rowOff>
    </xdr:to>
    <xdr:sp macro="" textlink="">
      <xdr:nvSpPr>
        <xdr:cNvPr id="40" name="사각형: 둥근 모서리 39">
          <a:extLst>
            <a:ext uri="{FF2B5EF4-FFF2-40B4-BE49-F238E27FC236}">
              <a16:creationId xmlns:a16="http://schemas.microsoft.com/office/drawing/2014/main" id="{3807A67A-379D-B870-F5EF-004BB49D9187}"/>
            </a:ext>
          </a:extLst>
        </xdr:cNvPr>
        <xdr:cNvSpPr/>
      </xdr:nvSpPr>
      <xdr:spPr>
        <a:xfrm>
          <a:off x="7510144" y="7193033"/>
          <a:ext cx="175027" cy="173762"/>
        </a:xfrm>
        <a:prstGeom prst="roundRect">
          <a:avLst>
            <a:gd name="adj" fmla="val 50000"/>
          </a:avLst>
        </a:prstGeom>
        <a:solidFill>
          <a:srgbClr val="F26A9E"/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2</a:t>
          </a:r>
          <a:endParaRPr lang="ko-KR" altLang="en-US" sz="10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3</xdr:col>
      <xdr:colOff>190500</xdr:colOff>
      <xdr:row>75</xdr:row>
      <xdr:rowOff>0</xdr:rowOff>
    </xdr:from>
    <xdr:to>
      <xdr:col>39</xdr:col>
      <xdr:colOff>76198</xdr:colOff>
      <xdr:row>103</xdr:row>
      <xdr:rowOff>95248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49500531-AA6D-4E86-A892-F7F8D7D94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8650" y="12382500"/>
          <a:ext cx="7772398" cy="4371973"/>
        </a:xfrm>
        <a:prstGeom prst="rect">
          <a:avLst/>
        </a:prstGeom>
      </xdr:spPr>
    </xdr:pic>
    <xdr:clientData/>
  </xdr:twoCellAnchor>
  <xdr:twoCellAnchor editAs="oneCell">
    <xdr:from>
      <xdr:col>5</xdr:col>
      <xdr:colOff>47875</xdr:colOff>
      <xdr:row>77</xdr:row>
      <xdr:rowOff>123825</xdr:rowOff>
    </xdr:from>
    <xdr:to>
      <xdr:col>10</xdr:col>
      <xdr:colOff>161925</xdr:colOff>
      <xdr:row>80</xdr:row>
      <xdr:rowOff>152400</xdr:rowOff>
    </xdr:to>
    <xdr:sp macro="" textlink="">
      <xdr:nvSpPr>
        <xdr:cNvPr id="42" name="사각형: 둥근 모서리 41">
          <a:extLst>
            <a:ext uri="{FF2B5EF4-FFF2-40B4-BE49-F238E27FC236}">
              <a16:creationId xmlns:a16="http://schemas.microsoft.com/office/drawing/2014/main" id="{13FF1455-E83E-BD11-ECF6-A93DAB0808EF}"/>
            </a:ext>
          </a:extLst>
        </xdr:cNvPr>
        <xdr:cNvSpPr/>
      </xdr:nvSpPr>
      <xdr:spPr>
        <a:xfrm>
          <a:off x="924175" y="12773025"/>
          <a:ext cx="1209425" cy="438150"/>
        </a:xfrm>
        <a:prstGeom prst="roundRect">
          <a:avLst>
            <a:gd name="adj" fmla="val 0"/>
          </a:avLst>
        </a:prstGeom>
        <a:noFill/>
        <a:ln w="19050" cap="rnd" cmpd="sng">
          <a:solidFill>
            <a:srgbClr val="E74F7E"/>
          </a:solidFill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192608</xdr:colOff>
      <xdr:row>77</xdr:row>
      <xdr:rowOff>109886</xdr:rowOff>
    </xdr:from>
    <xdr:to>
      <xdr:col>5</xdr:col>
      <xdr:colOff>147056</xdr:colOff>
      <xdr:row>79</xdr:row>
      <xdr:rowOff>46525</xdr:rowOff>
    </xdr:to>
    <xdr:sp macro="" textlink="">
      <xdr:nvSpPr>
        <xdr:cNvPr id="43" name="사각형: 둥근 모서리 42">
          <a:extLst>
            <a:ext uri="{FF2B5EF4-FFF2-40B4-BE49-F238E27FC236}">
              <a16:creationId xmlns:a16="http://schemas.microsoft.com/office/drawing/2014/main" id="{610A21D5-FBAA-A91B-6329-4C3766496C1B}"/>
            </a:ext>
          </a:extLst>
        </xdr:cNvPr>
        <xdr:cNvSpPr/>
      </xdr:nvSpPr>
      <xdr:spPr>
        <a:xfrm>
          <a:off x="849833" y="12759086"/>
          <a:ext cx="173523" cy="174764"/>
        </a:xfrm>
        <a:prstGeom prst="roundRect">
          <a:avLst>
            <a:gd name="adj" fmla="val 50000"/>
          </a:avLst>
        </a:prstGeom>
        <a:solidFill>
          <a:srgbClr val="F26A9E"/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10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41</xdr:col>
      <xdr:colOff>200025</xdr:colOff>
      <xdr:row>77</xdr:row>
      <xdr:rowOff>47625</xdr:rowOff>
    </xdr:from>
    <xdr:to>
      <xdr:col>44</xdr:col>
      <xdr:colOff>123825</xdr:colOff>
      <xdr:row>81</xdr:row>
      <xdr:rowOff>130319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1E80685E-2B8C-488F-91D8-FA02CA4741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0" t="9369" r="89338" b="81481"/>
        <a:stretch>
          <a:fillRect/>
        </a:stretch>
      </xdr:blipFill>
      <xdr:spPr>
        <a:xfrm>
          <a:off x="8963025" y="12696825"/>
          <a:ext cx="695325" cy="663719"/>
        </a:xfrm>
        <a:prstGeom prst="rect">
          <a:avLst/>
        </a:prstGeom>
      </xdr:spPr>
    </xdr:pic>
    <xdr:clientData/>
  </xdr:twoCellAnchor>
  <xdr:twoCellAnchor editAs="oneCell">
    <xdr:from>
      <xdr:col>41</xdr:col>
      <xdr:colOff>60020</xdr:colOff>
      <xdr:row>88</xdr:row>
      <xdr:rowOff>57150</xdr:rowOff>
    </xdr:from>
    <xdr:to>
      <xdr:col>44</xdr:col>
      <xdr:colOff>123825</xdr:colOff>
      <xdr:row>92</xdr:row>
      <xdr:rowOff>85725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D522114F-B00D-4ED6-BA85-48BFD90FD1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72" t="9369" r="82764" b="81481"/>
        <a:stretch>
          <a:fillRect/>
        </a:stretch>
      </xdr:blipFill>
      <xdr:spPr>
        <a:xfrm>
          <a:off x="8823020" y="14201775"/>
          <a:ext cx="835330" cy="6000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39</xdr:col>
      <xdr:colOff>104775</xdr:colOff>
      <xdr:row>133</xdr:row>
      <xdr:rowOff>161924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B512858B-0E84-49C5-B725-348ECF67D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6300" y="17973675"/>
          <a:ext cx="7772400" cy="4371974"/>
        </a:xfrm>
        <a:prstGeom prst="rect">
          <a:avLst/>
        </a:prstGeom>
      </xdr:spPr>
    </xdr:pic>
    <xdr:clientData/>
  </xdr:twoCellAnchor>
  <xdr:twoCellAnchor>
    <xdr:from>
      <xdr:col>21</xdr:col>
      <xdr:colOff>161925</xdr:colOff>
      <xdr:row>98</xdr:row>
      <xdr:rowOff>19051</xdr:rowOff>
    </xdr:from>
    <xdr:to>
      <xdr:col>51</xdr:col>
      <xdr:colOff>133350</xdr:colOff>
      <xdr:row>107</xdr:row>
      <xdr:rowOff>1</xdr:rowOff>
    </xdr:to>
    <xdr:cxnSp macro="">
      <xdr:nvCxnSpPr>
        <xdr:cNvPr id="64" name="연결선: 꺾임 63">
          <a:extLst>
            <a:ext uri="{FF2B5EF4-FFF2-40B4-BE49-F238E27FC236}">
              <a16:creationId xmlns:a16="http://schemas.microsoft.com/office/drawing/2014/main" id="{58C436FD-7441-EB80-BFEC-7AEAD657FC3F}"/>
            </a:ext>
          </a:extLst>
        </xdr:cNvPr>
        <xdr:cNvCxnSpPr>
          <a:cxnSpLocks/>
          <a:endCxn id="59" idx="0"/>
        </xdr:cNvCxnSpPr>
      </xdr:nvCxnSpPr>
      <xdr:spPr>
        <a:xfrm rot="5400000">
          <a:off x="7386638" y="13939838"/>
          <a:ext cx="1409700" cy="6657975"/>
        </a:xfrm>
        <a:prstGeom prst="bentConnector3">
          <a:avLst>
            <a:gd name="adj1" fmla="val 77703"/>
          </a:avLst>
        </a:prstGeom>
        <a:ln w="15875">
          <a:solidFill>
            <a:srgbClr val="E74F7E"/>
          </a:solidFill>
          <a:prstDash val="sysDot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76200</xdr:colOff>
      <xdr:row>110</xdr:row>
      <xdr:rowOff>101722</xdr:rowOff>
    </xdr:from>
    <xdr:to>
      <xdr:col>20</xdr:col>
      <xdr:colOff>30648</xdr:colOff>
      <xdr:row>111</xdr:row>
      <xdr:rowOff>110073</xdr:rowOff>
    </xdr:to>
    <xdr:sp macro="" textlink="">
      <xdr:nvSpPr>
        <xdr:cNvPr id="66" name="사각형: 둥근 모서리 65">
          <a:extLst>
            <a:ext uri="{FF2B5EF4-FFF2-40B4-BE49-F238E27FC236}">
              <a16:creationId xmlns:a16="http://schemas.microsoft.com/office/drawing/2014/main" id="{F968E07A-1FD4-20F9-3ADD-DF023EB8C775}"/>
            </a:ext>
          </a:extLst>
        </xdr:cNvPr>
        <xdr:cNvSpPr/>
      </xdr:nvSpPr>
      <xdr:spPr>
        <a:xfrm>
          <a:off x="4212771" y="18172008"/>
          <a:ext cx="172163" cy="182522"/>
        </a:xfrm>
        <a:prstGeom prst="roundRect">
          <a:avLst>
            <a:gd name="adj" fmla="val 50000"/>
          </a:avLst>
        </a:prstGeom>
        <a:solidFill>
          <a:schemeClr val="accent4">
            <a:lumMod val="60000"/>
            <a:lumOff val="40000"/>
          </a:schemeClr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1000" b="1">
            <a:solidFill>
              <a:srgbClr val="2B303D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27</xdr:col>
      <xdr:colOff>114300</xdr:colOff>
      <xdr:row>109</xdr:row>
      <xdr:rowOff>26883</xdr:rowOff>
    </xdr:from>
    <xdr:to>
      <xdr:col>28</xdr:col>
      <xdr:colOff>68748</xdr:colOff>
      <xdr:row>110</xdr:row>
      <xdr:rowOff>144496</xdr:rowOff>
    </xdr:to>
    <xdr:sp macro="" textlink="">
      <xdr:nvSpPr>
        <xdr:cNvPr id="67" name="사각형: 둥근 모서리 66">
          <a:extLst>
            <a:ext uri="{FF2B5EF4-FFF2-40B4-BE49-F238E27FC236}">
              <a16:creationId xmlns:a16="http://schemas.microsoft.com/office/drawing/2014/main" id="{9637DB38-DAD9-D3D9-C013-2E810E3906CE}"/>
            </a:ext>
          </a:extLst>
        </xdr:cNvPr>
        <xdr:cNvSpPr/>
      </xdr:nvSpPr>
      <xdr:spPr>
        <a:xfrm>
          <a:off x="5992586" y="18037297"/>
          <a:ext cx="172162" cy="177485"/>
        </a:xfrm>
        <a:prstGeom prst="roundRect">
          <a:avLst>
            <a:gd name="adj" fmla="val 50000"/>
          </a:avLst>
        </a:prstGeom>
        <a:solidFill>
          <a:schemeClr val="accent4">
            <a:lumMod val="60000"/>
            <a:lumOff val="40000"/>
          </a:schemeClr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2</a:t>
          </a:r>
          <a:endParaRPr lang="ko-KR" altLang="en-US" sz="1000" b="1">
            <a:solidFill>
              <a:srgbClr val="2B303D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14</xdr:col>
      <xdr:colOff>161925</xdr:colOff>
      <xdr:row>113</xdr:row>
      <xdr:rowOff>64982</xdr:rowOff>
    </xdr:from>
    <xdr:to>
      <xdr:col>15</xdr:col>
      <xdr:colOff>116373</xdr:colOff>
      <xdr:row>114</xdr:row>
      <xdr:rowOff>68297</xdr:rowOff>
    </xdr:to>
    <xdr:sp macro="" textlink="">
      <xdr:nvSpPr>
        <xdr:cNvPr id="68" name="사각형: 둥근 모서리 67">
          <a:extLst>
            <a:ext uri="{FF2B5EF4-FFF2-40B4-BE49-F238E27FC236}">
              <a16:creationId xmlns:a16="http://schemas.microsoft.com/office/drawing/2014/main" id="{8AF87171-7FE6-4AB7-8F1C-48B94494C2F7}"/>
            </a:ext>
          </a:extLst>
        </xdr:cNvPr>
        <xdr:cNvSpPr/>
      </xdr:nvSpPr>
      <xdr:spPr>
        <a:xfrm>
          <a:off x="3209925" y="18657782"/>
          <a:ext cx="172162" cy="177486"/>
        </a:xfrm>
        <a:prstGeom prst="roundRect">
          <a:avLst>
            <a:gd name="adj" fmla="val 50000"/>
          </a:avLst>
        </a:prstGeom>
        <a:solidFill>
          <a:schemeClr val="accent4">
            <a:lumMod val="60000"/>
            <a:lumOff val="40000"/>
          </a:schemeClr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3</a:t>
          </a:r>
          <a:endParaRPr lang="ko-KR" altLang="en-US" sz="1000" b="1">
            <a:solidFill>
              <a:srgbClr val="2B303D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14</xdr:col>
      <xdr:colOff>161925</xdr:colOff>
      <xdr:row>117</xdr:row>
      <xdr:rowOff>26621</xdr:rowOff>
    </xdr:from>
    <xdr:to>
      <xdr:col>15</xdr:col>
      <xdr:colOff>116373</xdr:colOff>
      <xdr:row>118</xdr:row>
      <xdr:rowOff>32657</xdr:rowOff>
    </xdr:to>
    <xdr:sp macro="" textlink="">
      <xdr:nvSpPr>
        <xdr:cNvPr id="69" name="사각형: 둥근 모서리 68">
          <a:extLst>
            <a:ext uri="{FF2B5EF4-FFF2-40B4-BE49-F238E27FC236}">
              <a16:creationId xmlns:a16="http://schemas.microsoft.com/office/drawing/2014/main" id="{3C883257-08B5-0E69-279F-CF16B90C84C9}"/>
            </a:ext>
          </a:extLst>
        </xdr:cNvPr>
        <xdr:cNvSpPr/>
      </xdr:nvSpPr>
      <xdr:spPr>
        <a:xfrm>
          <a:off x="3209925" y="19316107"/>
          <a:ext cx="172162" cy="180207"/>
        </a:xfrm>
        <a:prstGeom prst="roundRect">
          <a:avLst>
            <a:gd name="adj" fmla="val 50000"/>
          </a:avLst>
        </a:prstGeom>
        <a:solidFill>
          <a:schemeClr val="accent4">
            <a:lumMod val="60000"/>
            <a:lumOff val="40000"/>
          </a:schemeClr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4</a:t>
          </a:r>
          <a:endParaRPr lang="ko-KR" altLang="en-US" sz="1000" b="1">
            <a:solidFill>
              <a:srgbClr val="2B303D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14</xdr:col>
      <xdr:colOff>161925</xdr:colOff>
      <xdr:row>123</xdr:row>
      <xdr:rowOff>768</xdr:rowOff>
    </xdr:from>
    <xdr:to>
      <xdr:col>15</xdr:col>
      <xdr:colOff>116373</xdr:colOff>
      <xdr:row>124</xdr:row>
      <xdr:rowOff>4083</xdr:rowOff>
    </xdr:to>
    <xdr:sp macro="" textlink="">
      <xdr:nvSpPr>
        <xdr:cNvPr id="70" name="사각형: 둥근 모서리 69">
          <a:extLst>
            <a:ext uri="{FF2B5EF4-FFF2-40B4-BE49-F238E27FC236}">
              <a16:creationId xmlns:a16="http://schemas.microsoft.com/office/drawing/2014/main" id="{67A5B8FA-9043-8642-E8E8-566D9467BF9D}"/>
            </a:ext>
          </a:extLst>
        </xdr:cNvPr>
        <xdr:cNvSpPr/>
      </xdr:nvSpPr>
      <xdr:spPr>
        <a:xfrm>
          <a:off x="3209925" y="20199211"/>
          <a:ext cx="172162" cy="177486"/>
        </a:xfrm>
        <a:prstGeom prst="roundRect">
          <a:avLst>
            <a:gd name="adj" fmla="val 50000"/>
          </a:avLst>
        </a:prstGeom>
        <a:solidFill>
          <a:schemeClr val="accent4">
            <a:lumMod val="60000"/>
            <a:lumOff val="40000"/>
          </a:schemeClr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5</a:t>
          </a:r>
          <a:endParaRPr lang="ko-KR" altLang="en-US" sz="1000" b="1">
            <a:solidFill>
              <a:srgbClr val="2B303D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4</xdr:col>
      <xdr:colOff>0</xdr:colOff>
      <xdr:row>172</xdr:row>
      <xdr:rowOff>0</xdr:rowOff>
    </xdr:from>
    <xdr:to>
      <xdr:col>39</xdr:col>
      <xdr:colOff>104773</xdr:colOff>
      <xdr:row>199</xdr:row>
      <xdr:rowOff>109626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97B2D59D-0828-4006-9F30-3D4CC6C79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6981" y="25196321"/>
          <a:ext cx="7652886" cy="4354002"/>
        </a:xfrm>
        <a:prstGeom prst="rect">
          <a:avLst/>
        </a:prstGeom>
      </xdr:spPr>
    </xdr:pic>
    <xdr:clientData/>
  </xdr:twoCellAnchor>
  <xdr:twoCellAnchor editAs="oneCell">
    <xdr:from>
      <xdr:col>11</xdr:col>
      <xdr:colOff>152649</xdr:colOff>
      <xdr:row>175</xdr:row>
      <xdr:rowOff>2696</xdr:rowOff>
    </xdr:from>
    <xdr:to>
      <xdr:col>38</xdr:col>
      <xdr:colOff>85725</xdr:colOff>
      <xdr:row>178</xdr:row>
      <xdr:rowOff>62002</xdr:rowOff>
    </xdr:to>
    <xdr:sp macro="" textlink="">
      <xdr:nvSpPr>
        <xdr:cNvPr id="50" name="사각형: 둥근 모서리 49">
          <a:extLst>
            <a:ext uri="{FF2B5EF4-FFF2-40B4-BE49-F238E27FC236}">
              <a16:creationId xmlns:a16="http://schemas.microsoft.com/office/drawing/2014/main" id="{C014ADBD-7A99-4251-8606-6A3CF836E846}"/>
            </a:ext>
          </a:extLst>
        </xdr:cNvPr>
        <xdr:cNvSpPr/>
      </xdr:nvSpPr>
      <xdr:spPr>
        <a:xfrm>
          <a:off x="2309253" y="25585408"/>
          <a:ext cx="5755906" cy="436712"/>
        </a:xfrm>
        <a:prstGeom prst="roundRect">
          <a:avLst>
            <a:gd name="adj" fmla="val 0"/>
          </a:avLst>
        </a:prstGeom>
        <a:noFill/>
        <a:ln w="19050" cap="rnd" cmpd="sng">
          <a:solidFill>
            <a:srgbClr val="E74F7E"/>
          </a:solidFill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11</xdr:col>
      <xdr:colOff>78307</xdr:colOff>
      <xdr:row>174</xdr:row>
      <xdr:rowOff>159488</xdr:rowOff>
    </xdr:from>
    <xdr:to>
      <xdr:col>12</xdr:col>
      <xdr:colOff>32756</xdr:colOff>
      <xdr:row>175</xdr:row>
      <xdr:rowOff>162802</xdr:rowOff>
    </xdr:to>
    <xdr:sp macro="" textlink="">
      <xdr:nvSpPr>
        <xdr:cNvPr id="52" name="사각형: 둥근 모서리 51">
          <a:extLst>
            <a:ext uri="{FF2B5EF4-FFF2-40B4-BE49-F238E27FC236}">
              <a16:creationId xmlns:a16="http://schemas.microsoft.com/office/drawing/2014/main" id="{85251BE6-D084-42C3-98A7-3C269C2F1D48}"/>
            </a:ext>
          </a:extLst>
        </xdr:cNvPr>
        <xdr:cNvSpPr/>
      </xdr:nvSpPr>
      <xdr:spPr>
        <a:xfrm>
          <a:off x="2234911" y="25571469"/>
          <a:ext cx="170109" cy="174045"/>
        </a:xfrm>
        <a:prstGeom prst="roundRect">
          <a:avLst>
            <a:gd name="adj" fmla="val 50000"/>
          </a:avLst>
        </a:prstGeom>
        <a:solidFill>
          <a:srgbClr val="F26A9E"/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2</a:t>
          </a:r>
          <a:endParaRPr lang="ko-KR" altLang="en-US" sz="10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4</xdr:col>
      <xdr:colOff>0</xdr:colOff>
      <xdr:row>206</xdr:row>
      <xdr:rowOff>0</xdr:rowOff>
    </xdr:from>
    <xdr:to>
      <xdr:col>39</xdr:col>
      <xdr:colOff>104773</xdr:colOff>
      <xdr:row>234</xdr:row>
      <xdr:rowOff>57149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FF8976CC-9065-4BB3-B77C-695723426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6981" y="30623774"/>
          <a:ext cx="7652886" cy="4354002"/>
        </a:xfrm>
        <a:prstGeom prst="rect">
          <a:avLst/>
        </a:prstGeom>
      </xdr:spPr>
    </xdr:pic>
    <xdr:clientData/>
  </xdr:twoCellAnchor>
  <xdr:twoCellAnchor editAs="oneCell">
    <xdr:from>
      <xdr:col>4</xdr:col>
      <xdr:colOff>215550</xdr:colOff>
      <xdr:row>212</xdr:row>
      <xdr:rowOff>129540</xdr:rowOff>
    </xdr:from>
    <xdr:to>
      <xdr:col>28</xdr:col>
      <xdr:colOff>98845</xdr:colOff>
      <xdr:row>231</xdr:row>
      <xdr:rowOff>169831</xdr:rowOff>
    </xdr:to>
    <xdr:sp macro="" textlink="">
      <xdr:nvSpPr>
        <xdr:cNvPr id="54" name="사각형: 둥근 모서리 53">
          <a:extLst>
            <a:ext uri="{FF2B5EF4-FFF2-40B4-BE49-F238E27FC236}">
              <a16:creationId xmlns:a16="http://schemas.microsoft.com/office/drawing/2014/main" id="{C69BFA82-67E3-47B5-B610-844E722FCE3C}"/>
            </a:ext>
          </a:extLst>
        </xdr:cNvPr>
        <xdr:cNvSpPr/>
      </xdr:nvSpPr>
      <xdr:spPr>
        <a:xfrm>
          <a:off x="1091850" y="34943415"/>
          <a:ext cx="5141095" cy="2926366"/>
        </a:xfrm>
        <a:prstGeom prst="roundRect">
          <a:avLst>
            <a:gd name="adj" fmla="val 0"/>
          </a:avLst>
        </a:prstGeom>
        <a:noFill/>
        <a:ln w="19050" cap="rnd" cmpd="sng">
          <a:solidFill>
            <a:srgbClr val="E74F7E"/>
          </a:solidFill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141208</xdr:colOff>
      <xdr:row>212</xdr:row>
      <xdr:rowOff>46805</xdr:rowOff>
    </xdr:from>
    <xdr:to>
      <xdr:col>5</xdr:col>
      <xdr:colOff>95656</xdr:colOff>
      <xdr:row>213</xdr:row>
      <xdr:rowOff>50119</xdr:rowOff>
    </xdr:to>
    <xdr:sp macro="" textlink="">
      <xdr:nvSpPr>
        <xdr:cNvPr id="55" name="사각형: 둥근 모서리 54">
          <a:extLst>
            <a:ext uri="{FF2B5EF4-FFF2-40B4-BE49-F238E27FC236}">
              <a16:creationId xmlns:a16="http://schemas.microsoft.com/office/drawing/2014/main" id="{D28A8016-0904-4CD1-821E-FD97104B96B4}"/>
            </a:ext>
          </a:extLst>
        </xdr:cNvPr>
        <xdr:cNvSpPr/>
      </xdr:nvSpPr>
      <xdr:spPr>
        <a:xfrm>
          <a:off x="1017508" y="34860680"/>
          <a:ext cx="173523" cy="174764"/>
        </a:xfrm>
        <a:prstGeom prst="roundRect">
          <a:avLst>
            <a:gd name="adj" fmla="val 50000"/>
          </a:avLst>
        </a:prstGeom>
        <a:solidFill>
          <a:srgbClr val="F26A9E"/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2</a:t>
          </a:r>
          <a:endParaRPr lang="ko-KR" altLang="en-US" sz="10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19</xdr:col>
      <xdr:colOff>76200</xdr:colOff>
      <xdr:row>127</xdr:row>
      <xdr:rowOff>125186</xdr:rowOff>
    </xdr:from>
    <xdr:to>
      <xdr:col>20</xdr:col>
      <xdr:colOff>30648</xdr:colOff>
      <xdr:row>128</xdr:row>
      <xdr:rowOff>133537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395DEFE1-2641-B1BA-4D5D-3C749A5D6D33}"/>
            </a:ext>
          </a:extLst>
        </xdr:cNvPr>
        <xdr:cNvSpPr/>
      </xdr:nvSpPr>
      <xdr:spPr>
        <a:xfrm>
          <a:off x="4212771" y="21020315"/>
          <a:ext cx="172163" cy="182522"/>
        </a:xfrm>
        <a:prstGeom prst="roundRect">
          <a:avLst>
            <a:gd name="adj" fmla="val 50000"/>
          </a:avLst>
        </a:prstGeom>
        <a:solidFill>
          <a:schemeClr val="accent4">
            <a:lumMod val="60000"/>
            <a:lumOff val="40000"/>
          </a:schemeClr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6</a:t>
          </a:r>
          <a:endParaRPr lang="ko-KR" altLang="en-US" sz="1000" b="1">
            <a:solidFill>
              <a:srgbClr val="2B303D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25</xdr:col>
      <xdr:colOff>133350</xdr:colOff>
      <xdr:row>211</xdr:row>
      <xdr:rowOff>104559</xdr:rowOff>
    </xdr:from>
    <xdr:to>
      <xdr:col>28</xdr:col>
      <xdr:colOff>98845</xdr:colOff>
      <xdr:row>212</xdr:row>
      <xdr:rowOff>133350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808344EA-D718-4915-A7E4-FC9388150F3A}"/>
            </a:ext>
          </a:extLst>
        </xdr:cNvPr>
        <xdr:cNvSpPr/>
      </xdr:nvSpPr>
      <xdr:spPr>
        <a:xfrm>
          <a:off x="5610225" y="34746984"/>
          <a:ext cx="622720" cy="200241"/>
        </a:xfrm>
        <a:prstGeom prst="roundRect">
          <a:avLst>
            <a:gd name="adj" fmla="val 0"/>
          </a:avLst>
        </a:prstGeom>
        <a:noFill/>
        <a:ln w="19050" cap="rnd" cmpd="sng">
          <a:solidFill>
            <a:srgbClr val="E74F7E"/>
          </a:solidFill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25</xdr:col>
      <xdr:colOff>22860</xdr:colOff>
      <xdr:row>211</xdr:row>
      <xdr:rowOff>75380</xdr:rowOff>
    </xdr:from>
    <xdr:to>
      <xdr:col>25</xdr:col>
      <xdr:colOff>196383</xdr:colOff>
      <xdr:row>212</xdr:row>
      <xdr:rowOff>78694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B6D76130-EF6B-C596-BBE8-E707CB495677}"/>
            </a:ext>
          </a:extLst>
        </xdr:cNvPr>
        <xdr:cNvSpPr/>
      </xdr:nvSpPr>
      <xdr:spPr>
        <a:xfrm>
          <a:off x="5499735" y="34717805"/>
          <a:ext cx="173523" cy="174764"/>
        </a:xfrm>
        <a:prstGeom prst="roundRect">
          <a:avLst>
            <a:gd name="adj" fmla="val 50000"/>
          </a:avLst>
        </a:prstGeom>
        <a:solidFill>
          <a:srgbClr val="F26A9E"/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10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41</xdr:col>
      <xdr:colOff>0</xdr:colOff>
      <xdr:row>276</xdr:row>
      <xdr:rowOff>0</xdr:rowOff>
    </xdr:from>
    <xdr:to>
      <xdr:col>50</xdr:col>
      <xdr:colOff>200025</xdr:colOff>
      <xdr:row>304</xdr:row>
      <xdr:rowOff>155588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C03BD803-5C4E-83EB-039D-139E3FBF6F0D}"/>
            </a:ext>
          </a:extLst>
        </xdr:cNvPr>
        <xdr:cNvGrpSpPr/>
      </xdr:nvGrpSpPr>
      <xdr:grpSpPr>
        <a:xfrm>
          <a:off x="8982075" y="45177075"/>
          <a:ext cx="2286000" cy="4375163"/>
          <a:chOff x="8982075" y="43805475"/>
          <a:chExt cx="2286000" cy="4375163"/>
        </a:xfrm>
      </xdr:grpSpPr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0BAEFDC5-517E-4825-BA36-F98CE2A04A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82075" y="43805475"/>
            <a:ext cx="2286000" cy="4375163"/>
          </a:xfrm>
          <a:prstGeom prst="rect">
            <a:avLst/>
          </a:prstGeom>
        </xdr:spPr>
      </xdr:pic>
      <xdr:sp macro="" textlink="">
        <xdr:nvSpPr>
          <xdr:cNvPr id="16" name="사각형: 둥근 모서리 15">
            <a:extLst>
              <a:ext uri="{FF2B5EF4-FFF2-40B4-BE49-F238E27FC236}">
                <a16:creationId xmlns:a16="http://schemas.microsoft.com/office/drawing/2014/main" id="{44E175EF-513E-43C0-A5CD-9E9196348A9D}"/>
              </a:ext>
            </a:extLst>
          </xdr:cNvPr>
          <xdr:cNvSpPr/>
        </xdr:nvSpPr>
        <xdr:spPr>
          <a:xfrm>
            <a:off x="9906000" y="43843575"/>
            <a:ext cx="173523" cy="179801"/>
          </a:xfrm>
          <a:prstGeom prst="roundRect">
            <a:avLst>
              <a:gd name="adj" fmla="val 50000"/>
            </a:avLst>
          </a:prstGeom>
          <a:solidFill>
            <a:schemeClr val="accent4">
              <a:lumMod val="60000"/>
              <a:lumOff val="40000"/>
            </a:schemeClr>
          </a:solidFill>
          <a:ln w="19050" cap="rnd" cmpd="sng">
            <a:noFill/>
            <a:prstDash val="sysDot"/>
            <a:round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1</a:t>
            </a:r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20" name="사각형: 둥근 모서리 19">
            <a:extLst>
              <a:ext uri="{FF2B5EF4-FFF2-40B4-BE49-F238E27FC236}">
                <a16:creationId xmlns:a16="http://schemas.microsoft.com/office/drawing/2014/main" id="{F640FF41-B5B3-9EC1-32DB-ABE58B46421E}"/>
              </a:ext>
            </a:extLst>
          </xdr:cNvPr>
          <xdr:cNvSpPr/>
        </xdr:nvSpPr>
        <xdr:spPr>
          <a:xfrm>
            <a:off x="9608652" y="44327884"/>
            <a:ext cx="173523" cy="179801"/>
          </a:xfrm>
          <a:prstGeom prst="roundRect">
            <a:avLst>
              <a:gd name="adj" fmla="val 50000"/>
            </a:avLst>
          </a:prstGeom>
          <a:solidFill>
            <a:schemeClr val="accent4">
              <a:lumMod val="60000"/>
              <a:lumOff val="40000"/>
            </a:schemeClr>
          </a:solidFill>
          <a:ln w="19050" cap="rnd" cmpd="sng">
            <a:noFill/>
            <a:prstDash val="sysDot"/>
            <a:round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2</a:t>
            </a:r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21" name="사각형: 둥근 모서리 20">
            <a:extLst>
              <a:ext uri="{FF2B5EF4-FFF2-40B4-BE49-F238E27FC236}">
                <a16:creationId xmlns:a16="http://schemas.microsoft.com/office/drawing/2014/main" id="{3057EA6B-8C4A-9C0A-2481-B1D26E6CDFB3}"/>
              </a:ext>
            </a:extLst>
          </xdr:cNvPr>
          <xdr:cNvSpPr/>
        </xdr:nvSpPr>
        <xdr:spPr>
          <a:xfrm>
            <a:off x="10856427" y="45044167"/>
            <a:ext cx="173523" cy="177602"/>
          </a:xfrm>
          <a:prstGeom prst="roundRect">
            <a:avLst>
              <a:gd name="adj" fmla="val 50000"/>
            </a:avLst>
          </a:prstGeom>
          <a:solidFill>
            <a:schemeClr val="accent4">
              <a:lumMod val="60000"/>
              <a:lumOff val="40000"/>
            </a:schemeClr>
          </a:solidFill>
          <a:ln w="19050" cap="rnd" cmpd="sng">
            <a:noFill/>
            <a:prstDash val="sysDot"/>
            <a:round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3</a:t>
            </a:r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22" name="사각형: 둥근 모서리 21">
            <a:extLst>
              <a:ext uri="{FF2B5EF4-FFF2-40B4-BE49-F238E27FC236}">
                <a16:creationId xmlns:a16="http://schemas.microsoft.com/office/drawing/2014/main" id="{F1CCB79D-02A8-F1CC-8B2E-7A274161F1BA}"/>
              </a:ext>
            </a:extLst>
          </xdr:cNvPr>
          <xdr:cNvSpPr/>
        </xdr:nvSpPr>
        <xdr:spPr>
          <a:xfrm>
            <a:off x="10856427" y="45801770"/>
            <a:ext cx="173523" cy="179801"/>
          </a:xfrm>
          <a:prstGeom prst="roundRect">
            <a:avLst>
              <a:gd name="adj" fmla="val 50000"/>
            </a:avLst>
          </a:prstGeom>
          <a:solidFill>
            <a:schemeClr val="accent4">
              <a:lumMod val="60000"/>
              <a:lumOff val="40000"/>
            </a:schemeClr>
          </a:solidFill>
          <a:ln w="19050" cap="rnd" cmpd="sng">
            <a:noFill/>
            <a:prstDash val="sysDot"/>
            <a:round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4</a:t>
            </a:r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28" name="사각형: 둥근 모서리 27">
            <a:extLst>
              <a:ext uri="{FF2B5EF4-FFF2-40B4-BE49-F238E27FC236}">
                <a16:creationId xmlns:a16="http://schemas.microsoft.com/office/drawing/2014/main" id="{2D8C6DE7-3CEB-9FE9-B2C8-7D09A78CF1B6}"/>
              </a:ext>
            </a:extLst>
          </xdr:cNvPr>
          <xdr:cNvSpPr/>
        </xdr:nvSpPr>
        <xdr:spPr>
          <a:xfrm>
            <a:off x="10856427" y="46695946"/>
            <a:ext cx="173523" cy="180000"/>
          </a:xfrm>
          <a:prstGeom prst="roundRect">
            <a:avLst>
              <a:gd name="adj" fmla="val 50000"/>
            </a:avLst>
          </a:prstGeom>
          <a:solidFill>
            <a:schemeClr val="accent4">
              <a:lumMod val="60000"/>
              <a:lumOff val="40000"/>
            </a:schemeClr>
          </a:solidFill>
          <a:ln w="19050" cap="rnd" cmpd="sng">
            <a:noFill/>
            <a:prstDash val="sysDot"/>
            <a:round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5</a:t>
            </a:r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31" name="사각형: 둥근 모서리 30">
            <a:extLst>
              <a:ext uri="{FF2B5EF4-FFF2-40B4-BE49-F238E27FC236}">
                <a16:creationId xmlns:a16="http://schemas.microsoft.com/office/drawing/2014/main" id="{870CBB47-71D8-C65D-0827-6F5531E0EA8B}"/>
              </a:ext>
            </a:extLst>
          </xdr:cNvPr>
          <xdr:cNvSpPr/>
        </xdr:nvSpPr>
        <xdr:spPr>
          <a:xfrm>
            <a:off x="10856427" y="47601997"/>
            <a:ext cx="173523" cy="179800"/>
          </a:xfrm>
          <a:prstGeom prst="roundRect">
            <a:avLst>
              <a:gd name="adj" fmla="val 50000"/>
            </a:avLst>
          </a:prstGeom>
          <a:solidFill>
            <a:schemeClr val="accent4">
              <a:lumMod val="60000"/>
              <a:lumOff val="40000"/>
            </a:schemeClr>
          </a:solidFill>
          <a:ln w="19050" cap="rnd" cmpd="sng">
            <a:noFill/>
            <a:prstDash val="sysDot"/>
            <a:round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6</a:t>
            </a:r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</xdr:grpSp>
    <xdr:clientData/>
  </xdr:twoCellAnchor>
  <xdr:twoCellAnchor editAs="oneCell">
    <xdr:from>
      <xdr:col>53</xdr:col>
      <xdr:colOff>76908</xdr:colOff>
      <xdr:row>330</xdr:row>
      <xdr:rowOff>40821</xdr:rowOff>
    </xdr:from>
    <xdr:to>
      <xdr:col>61</xdr:col>
      <xdr:colOff>168998</xdr:colOff>
      <xdr:row>334</xdr:row>
      <xdr:rowOff>122463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9EAB4CC6-AB16-4C67-A528-91BDDD40EB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68" t="84761" r="33460" b="5442"/>
        <a:stretch>
          <a:fillRect/>
        </a:stretch>
      </xdr:blipFill>
      <xdr:spPr>
        <a:xfrm>
          <a:off x="11606299" y="52063886"/>
          <a:ext cx="1814873" cy="644860"/>
        </a:xfrm>
        <a:prstGeom prst="rect">
          <a:avLst/>
        </a:prstGeom>
      </xdr:spPr>
    </xdr:pic>
    <xdr:clientData/>
  </xdr:twoCellAnchor>
  <xdr:twoCellAnchor>
    <xdr:from>
      <xdr:col>59</xdr:col>
      <xdr:colOff>14968</xdr:colOff>
      <xdr:row>331</xdr:row>
      <xdr:rowOff>117022</xdr:rowOff>
    </xdr:from>
    <xdr:to>
      <xdr:col>61</xdr:col>
      <xdr:colOff>189140</xdr:colOff>
      <xdr:row>332</xdr:row>
      <xdr:rowOff>95251</xdr:rowOff>
    </xdr:to>
    <xdr:sp macro="" textlink="">
      <xdr:nvSpPr>
        <xdr:cNvPr id="46" name="사각형: 둥근 모서리 45">
          <a:extLst>
            <a:ext uri="{FF2B5EF4-FFF2-40B4-BE49-F238E27FC236}">
              <a16:creationId xmlns:a16="http://schemas.microsoft.com/office/drawing/2014/main" id="{AB6C26D2-64C9-750D-8DF6-C9ADACCA2F8A}"/>
            </a:ext>
          </a:extLst>
        </xdr:cNvPr>
        <xdr:cNvSpPr/>
      </xdr:nvSpPr>
      <xdr:spPr>
        <a:xfrm>
          <a:off x="13054693" y="51466297"/>
          <a:ext cx="612322" cy="149679"/>
        </a:xfrm>
        <a:prstGeom prst="roundRect">
          <a:avLst>
            <a:gd name="adj" fmla="val 9167"/>
          </a:avLst>
        </a:prstGeom>
        <a:solidFill>
          <a:srgbClr val="E74F7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 b="0">
              <a:latin typeface="나눔스퀘어 네오 Bold" panose="00000800000000000000" pitchFamily="2" charset="-127"/>
              <a:ea typeface="나눔스퀘어 네오 Bold" panose="00000800000000000000" pitchFamily="2" charset="-127"/>
            </a:rPr>
            <a:t>1</a:t>
          </a:r>
          <a:r>
            <a:rPr lang="ko-KR" altLang="en-US" sz="800" b="0">
              <a:latin typeface="나눔스퀘어 네오 Bold" panose="00000800000000000000" pitchFamily="2" charset="-127"/>
              <a:ea typeface="나눔스퀘어 네오 Bold" panose="00000800000000000000" pitchFamily="2" charset="-127"/>
            </a:rPr>
            <a:t>개</a:t>
          </a:r>
        </a:p>
      </xdr:txBody>
    </xdr:sp>
    <xdr:clientData/>
  </xdr:twoCellAnchor>
  <xdr:twoCellAnchor editAs="oneCell">
    <xdr:from>
      <xdr:col>4</xdr:col>
      <xdr:colOff>0</xdr:colOff>
      <xdr:row>340</xdr:row>
      <xdr:rowOff>0</xdr:rowOff>
    </xdr:from>
    <xdr:to>
      <xdr:col>39</xdr:col>
      <xdr:colOff>104773</xdr:colOff>
      <xdr:row>365</xdr:row>
      <xdr:rowOff>85724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9B86E9A8-819A-4CC7-BA6B-534DBBF9F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6300" y="52949475"/>
          <a:ext cx="7772398" cy="4371974"/>
        </a:xfrm>
        <a:prstGeom prst="rect">
          <a:avLst/>
        </a:prstGeom>
      </xdr:spPr>
    </xdr:pic>
    <xdr:clientData/>
  </xdr:twoCellAnchor>
  <xdr:twoCellAnchor editAs="oneCell">
    <xdr:from>
      <xdr:col>31</xdr:col>
      <xdr:colOff>76200</xdr:colOff>
      <xdr:row>362</xdr:row>
      <xdr:rowOff>160022</xdr:rowOff>
    </xdr:from>
    <xdr:to>
      <xdr:col>38</xdr:col>
      <xdr:colOff>9525</xdr:colOff>
      <xdr:row>364</xdr:row>
      <xdr:rowOff>48653</xdr:rowOff>
    </xdr:to>
    <xdr:sp macro="" textlink="">
      <xdr:nvSpPr>
        <xdr:cNvPr id="56" name="사각형: 둥근 모서리 55">
          <a:extLst>
            <a:ext uri="{FF2B5EF4-FFF2-40B4-BE49-F238E27FC236}">
              <a16:creationId xmlns:a16="http://schemas.microsoft.com/office/drawing/2014/main" id="{F3CDD8B2-4323-4D86-A647-2F6413F73EA4}"/>
            </a:ext>
          </a:extLst>
        </xdr:cNvPr>
        <xdr:cNvSpPr/>
      </xdr:nvSpPr>
      <xdr:spPr>
        <a:xfrm>
          <a:off x="6867525" y="56881397"/>
          <a:ext cx="1466850" cy="231531"/>
        </a:xfrm>
        <a:prstGeom prst="roundRect">
          <a:avLst>
            <a:gd name="adj" fmla="val 0"/>
          </a:avLst>
        </a:prstGeom>
        <a:noFill/>
        <a:ln w="19050" cap="rnd" cmpd="sng">
          <a:solidFill>
            <a:srgbClr val="E74F7E"/>
          </a:solidFill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30</xdr:col>
      <xdr:colOff>200363</xdr:colOff>
      <xdr:row>362</xdr:row>
      <xdr:rowOff>104775</xdr:rowOff>
    </xdr:from>
    <xdr:to>
      <xdr:col>31</xdr:col>
      <xdr:colOff>154811</xdr:colOff>
      <xdr:row>363</xdr:row>
      <xdr:rowOff>108089</xdr:rowOff>
    </xdr:to>
    <xdr:sp macro="" textlink="">
      <xdr:nvSpPr>
        <xdr:cNvPr id="57" name="사각형: 둥근 모서리 56">
          <a:extLst>
            <a:ext uri="{FF2B5EF4-FFF2-40B4-BE49-F238E27FC236}">
              <a16:creationId xmlns:a16="http://schemas.microsoft.com/office/drawing/2014/main" id="{2F05D385-2A02-4994-8CD6-FF312C549C6D}"/>
            </a:ext>
          </a:extLst>
        </xdr:cNvPr>
        <xdr:cNvSpPr/>
      </xdr:nvSpPr>
      <xdr:spPr>
        <a:xfrm>
          <a:off x="6772613" y="56826150"/>
          <a:ext cx="173523" cy="174764"/>
        </a:xfrm>
        <a:prstGeom prst="roundRect">
          <a:avLst>
            <a:gd name="adj" fmla="val 50000"/>
          </a:avLst>
        </a:prstGeom>
        <a:solidFill>
          <a:srgbClr val="F26A9E"/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2</a:t>
          </a:r>
          <a:endParaRPr lang="ko-KR" altLang="en-US" sz="10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34</xdr:col>
      <xdr:colOff>170448</xdr:colOff>
      <xdr:row>364</xdr:row>
      <xdr:rowOff>113567</xdr:rowOff>
    </xdr:from>
    <xdr:to>
      <xdr:col>38</xdr:col>
      <xdr:colOff>0</xdr:colOff>
      <xdr:row>365</xdr:row>
      <xdr:rowOff>161925</xdr:rowOff>
    </xdr:to>
    <xdr:sp macro="" textlink="">
      <xdr:nvSpPr>
        <xdr:cNvPr id="58" name="사각형: 둥근 모서리 57">
          <a:extLst>
            <a:ext uri="{FF2B5EF4-FFF2-40B4-BE49-F238E27FC236}">
              <a16:creationId xmlns:a16="http://schemas.microsoft.com/office/drawing/2014/main" id="{16459287-3B82-43D7-9BD3-CAD2BB3F1F93}"/>
            </a:ext>
          </a:extLst>
        </xdr:cNvPr>
        <xdr:cNvSpPr/>
      </xdr:nvSpPr>
      <xdr:spPr>
        <a:xfrm>
          <a:off x="7618998" y="57177842"/>
          <a:ext cx="705852" cy="219808"/>
        </a:xfrm>
        <a:prstGeom prst="roundRect">
          <a:avLst>
            <a:gd name="adj" fmla="val 9167"/>
          </a:avLst>
        </a:prstGeom>
        <a:solidFill>
          <a:srgbClr val="72382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700">
              <a:latin typeface="나눔스퀘어 네오 Bold" panose="00000800000000000000" pitchFamily="2" charset="-127"/>
              <a:ea typeface="나눔스퀘어 네오 Bold" panose="00000800000000000000" pitchFamily="2" charset="-127"/>
            </a:rPr>
            <a:t>수령</a:t>
          </a:r>
        </a:p>
      </xdr:txBody>
    </xdr:sp>
    <xdr:clientData/>
  </xdr:twoCellAnchor>
  <xdr:twoCellAnchor editAs="oneCell">
    <xdr:from>
      <xdr:col>4</xdr:col>
      <xdr:colOff>0</xdr:colOff>
      <xdr:row>263</xdr:row>
      <xdr:rowOff>0</xdr:rowOff>
    </xdr:from>
    <xdr:to>
      <xdr:col>39</xdr:col>
      <xdr:colOff>104773</xdr:colOff>
      <xdr:row>292</xdr:row>
      <xdr:rowOff>47624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F06EEEAC-E7AC-40FD-62C5-DC350A574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6300" y="43062525"/>
          <a:ext cx="7772398" cy="4543424"/>
        </a:xfrm>
        <a:prstGeom prst="rect">
          <a:avLst/>
        </a:prstGeom>
      </xdr:spPr>
    </xdr:pic>
    <xdr:clientData/>
  </xdr:twoCellAnchor>
  <xdr:twoCellAnchor editAs="oneCell">
    <xdr:from>
      <xdr:col>28</xdr:col>
      <xdr:colOff>190500</xdr:colOff>
      <xdr:row>268</xdr:row>
      <xdr:rowOff>56847</xdr:rowOff>
    </xdr:from>
    <xdr:to>
      <xdr:col>38</xdr:col>
      <xdr:colOff>9525</xdr:colOff>
      <xdr:row>288</xdr:row>
      <xdr:rowOff>58716</xdr:rowOff>
    </xdr:to>
    <xdr:sp macro="" textlink="">
      <xdr:nvSpPr>
        <xdr:cNvPr id="72" name="사각형: 둥근 모서리 71">
          <a:extLst>
            <a:ext uri="{FF2B5EF4-FFF2-40B4-BE49-F238E27FC236}">
              <a16:creationId xmlns:a16="http://schemas.microsoft.com/office/drawing/2014/main" id="{0500DFF4-85A0-0010-4C78-91F4A2385C7E}"/>
            </a:ext>
          </a:extLst>
        </xdr:cNvPr>
        <xdr:cNvSpPr/>
      </xdr:nvSpPr>
      <xdr:spPr>
        <a:xfrm>
          <a:off x="6324600" y="43976622"/>
          <a:ext cx="2009775" cy="3078444"/>
        </a:xfrm>
        <a:prstGeom prst="roundRect">
          <a:avLst>
            <a:gd name="adj" fmla="val 0"/>
          </a:avLst>
        </a:prstGeom>
        <a:noFill/>
        <a:ln w="19050" cap="rnd" cmpd="sng">
          <a:solidFill>
            <a:srgbClr val="E74F7E"/>
          </a:solidFill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28</xdr:col>
      <xdr:colOff>103108</xdr:colOff>
      <xdr:row>267</xdr:row>
      <xdr:rowOff>148256</xdr:rowOff>
    </xdr:from>
    <xdr:to>
      <xdr:col>29</xdr:col>
      <xdr:colOff>57556</xdr:colOff>
      <xdr:row>268</xdr:row>
      <xdr:rowOff>158425</xdr:rowOff>
    </xdr:to>
    <xdr:sp macro="" textlink="">
      <xdr:nvSpPr>
        <xdr:cNvPr id="73" name="사각형: 둥근 모서리 72">
          <a:extLst>
            <a:ext uri="{FF2B5EF4-FFF2-40B4-BE49-F238E27FC236}">
              <a16:creationId xmlns:a16="http://schemas.microsoft.com/office/drawing/2014/main" id="{9B1A3C0B-96EC-1361-E4FB-BDAF98A451BE}"/>
            </a:ext>
          </a:extLst>
        </xdr:cNvPr>
        <xdr:cNvSpPr/>
      </xdr:nvSpPr>
      <xdr:spPr>
        <a:xfrm>
          <a:off x="6237208" y="43896581"/>
          <a:ext cx="173523" cy="181619"/>
        </a:xfrm>
        <a:prstGeom prst="roundRect">
          <a:avLst>
            <a:gd name="adj" fmla="val 50000"/>
          </a:avLst>
        </a:prstGeom>
        <a:solidFill>
          <a:srgbClr val="F26A9E"/>
        </a:solidFill>
        <a:ln w="19050" cap="rnd" cmpd="sng">
          <a:noFill/>
          <a:prstDash val="sysDot"/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10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49</xdr:col>
      <xdr:colOff>174427</xdr:colOff>
      <xdr:row>276</xdr:row>
      <xdr:rowOff>67047</xdr:rowOff>
    </xdr:from>
    <xdr:to>
      <xdr:col>50</xdr:col>
      <xdr:colOff>65484</xdr:colOff>
      <xdr:row>277</xdr:row>
      <xdr:rowOff>7399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45E14F8F-65A2-0B8E-A0E0-25CEBFF4688E}"/>
            </a:ext>
          </a:extLst>
        </xdr:cNvPr>
        <xdr:cNvGrpSpPr/>
      </xdr:nvGrpSpPr>
      <xdr:grpSpPr>
        <a:xfrm>
          <a:off x="11023402" y="45244122"/>
          <a:ext cx="110132" cy="111802"/>
          <a:chOff x="10866239" y="44384714"/>
          <a:chExt cx="79430" cy="80621"/>
        </a:xfrm>
      </xdr:grpSpPr>
      <xdr:sp macro="" textlink="">
        <xdr:nvSpPr>
          <xdr:cNvPr id="75" name="별: 꼭짓점 5개 74">
            <a:extLst>
              <a:ext uri="{FF2B5EF4-FFF2-40B4-BE49-F238E27FC236}">
                <a16:creationId xmlns:a16="http://schemas.microsoft.com/office/drawing/2014/main" id="{1FD50A98-CA67-FF79-D9C9-179D1F240D7C}"/>
              </a:ext>
            </a:extLst>
          </xdr:cNvPr>
          <xdr:cNvSpPr/>
        </xdr:nvSpPr>
        <xdr:spPr>
          <a:xfrm>
            <a:off x="10866239" y="44385309"/>
            <a:ext cx="79430" cy="79430"/>
          </a:xfrm>
          <a:prstGeom prst="star5">
            <a:avLst>
              <a:gd name="adj" fmla="val 28876"/>
              <a:gd name="hf" fmla="val 105146"/>
              <a:gd name="vf" fmla="val 110557"/>
            </a:avLst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6" name="별: 꼭짓점 5개 75">
            <a:extLst>
              <a:ext uri="{FF2B5EF4-FFF2-40B4-BE49-F238E27FC236}">
                <a16:creationId xmlns:a16="http://schemas.microsoft.com/office/drawing/2014/main" id="{51F82A1A-A246-54A9-4439-F87263598D5A}"/>
              </a:ext>
            </a:extLst>
          </xdr:cNvPr>
          <xdr:cNvSpPr/>
        </xdr:nvSpPr>
        <xdr:spPr>
          <a:xfrm>
            <a:off x="10866239" y="44384714"/>
            <a:ext cx="79430" cy="80621"/>
          </a:xfrm>
          <a:prstGeom prst="star5">
            <a:avLst>
              <a:gd name="adj" fmla="val 28876"/>
              <a:gd name="hf" fmla="val 105146"/>
              <a:gd name="vf" fmla="val 110557"/>
            </a:avLst>
          </a:prstGeom>
          <a:noFill/>
          <a:ln w="6350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608670</xdr:colOff>
      <xdr:row>9</xdr:row>
      <xdr:rowOff>0</xdr:rowOff>
    </xdr:from>
    <xdr:to>
      <xdr:col>3</xdr:col>
      <xdr:colOff>0</xdr:colOff>
      <xdr:row>9</xdr:row>
      <xdr:rowOff>167268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B6A9729-FD8F-48D4-A1B2-E4B43511AF4F}"/>
            </a:ext>
          </a:extLst>
        </xdr:cNvPr>
        <xdr:cNvSpPr/>
      </xdr:nvSpPr>
      <xdr:spPr>
        <a:xfrm>
          <a:off x="3652024" y="1547232"/>
          <a:ext cx="2049037" cy="16726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</xdr:colOff>
      <xdr:row>9</xdr:row>
      <xdr:rowOff>0</xdr:rowOff>
    </xdr:from>
    <xdr:to>
      <xdr:col>5</xdr:col>
      <xdr:colOff>1</xdr:colOff>
      <xdr:row>9</xdr:row>
      <xdr:rowOff>167268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676F445-3172-438C-839B-CD397CAED543}"/>
            </a:ext>
          </a:extLst>
        </xdr:cNvPr>
        <xdr:cNvSpPr/>
      </xdr:nvSpPr>
      <xdr:spPr>
        <a:xfrm>
          <a:off x="6309733" y="1547232"/>
          <a:ext cx="1333500" cy="16726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608670</xdr:colOff>
      <xdr:row>12</xdr:row>
      <xdr:rowOff>0</xdr:rowOff>
    </xdr:from>
    <xdr:to>
      <xdr:col>7</xdr:col>
      <xdr:colOff>0</xdr:colOff>
      <xdr:row>12</xdr:row>
      <xdr:rowOff>167268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B599C88-EF1F-4891-B226-AE0AB776F01C}"/>
            </a:ext>
          </a:extLst>
        </xdr:cNvPr>
        <xdr:cNvSpPr/>
      </xdr:nvSpPr>
      <xdr:spPr>
        <a:xfrm>
          <a:off x="8251902" y="2062976"/>
          <a:ext cx="1770257" cy="16726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608670</xdr:colOff>
      <xdr:row>13</xdr:row>
      <xdr:rowOff>0</xdr:rowOff>
    </xdr:from>
    <xdr:to>
      <xdr:col>7</xdr:col>
      <xdr:colOff>0</xdr:colOff>
      <xdr:row>13</xdr:row>
      <xdr:rowOff>167268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C0FD00FF-7244-4973-9442-15872E442F4A}"/>
            </a:ext>
          </a:extLst>
        </xdr:cNvPr>
        <xdr:cNvSpPr/>
      </xdr:nvSpPr>
      <xdr:spPr>
        <a:xfrm>
          <a:off x="8251902" y="2234890"/>
          <a:ext cx="1770257" cy="16726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10</xdr:row>
      <xdr:rowOff>0</xdr:rowOff>
    </xdr:from>
    <xdr:to>
      <xdr:col>3</xdr:col>
      <xdr:colOff>930</xdr:colOff>
      <xdr:row>10</xdr:row>
      <xdr:rowOff>167268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B816D37-6C96-494E-9273-7EE3C792E09A}"/>
            </a:ext>
          </a:extLst>
        </xdr:cNvPr>
        <xdr:cNvSpPr/>
      </xdr:nvSpPr>
      <xdr:spPr>
        <a:xfrm>
          <a:off x="3657600" y="1714500"/>
          <a:ext cx="2048805" cy="16726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3</xdr:col>
      <xdr:colOff>930</xdr:colOff>
      <xdr:row>11</xdr:row>
      <xdr:rowOff>167268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2F2BA55F-43EA-40D9-810F-073C88AA1DF2}"/>
            </a:ext>
          </a:extLst>
        </xdr:cNvPr>
        <xdr:cNvSpPr/>
      </xdr:nvSpPr>
      <xdr:spPr>
        <a:xfrm>
          <a:off x="3657600" y="1885950"/>
          <a:ext cx="2048805" cy="16726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3</xdr:col>
      <xdr:colOff>930</xdr:colOff>
      <xdr:row>12</xdr:row>
      <xdr:rowOff>167268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B9278EFE-10D4-4DBF-BDCD-4ABECF5A9FEA}"/>
            </a:ext>
          </a:extLst>
        </xdr:cNvPr>
        <xdr:cNvSpPr/>
      </xdr:nvSpPr>
      <xdr:spPr>
        <a:xfrm>
          <a:off x="3657600" y="2057400"/>
          <a:ext cx="2048805" cy="16726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20</xdr:row>
      <xdr:rowOff>0</xdr:rowOff>
    </xdr:from>
    <xdr:to>
      <xdr:col>3</xdr:col>
      <xdr:colOff>930</xdr:colOff>
      <xdr:row>20</xdr:row>
      <xdr:rowOff>167268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6E58AEA7-297D-4479-8A87-2DB98B16363B}"/>
            </a:ext>
          </a:extLst>
        </xdr:cNvPr>
        <xdr:cNvSpPr/>
      </xdr:nvSpPr>
      <xdr:spPr>
        <a:xfrm>
          <a:off x="3657600" y="3257550"/>
          <a:ext cx="2048805" cy="16726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20</xdr:row>
      <xdr:rowOff>167268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6EF9BB74-5B21-432D-AAA7-A308E354065B}"/>
            </a:ext>
          </a:extLst>
        </xdr:cNvPr>
        <xdr:cNvSpPr/>
      </xdr:nvSpPr>
      <xdr:spPr>
        <a:xfrm>
          <a:off x="6315075" y="3257550"/>
          <a:ext cx="1333500" cy="16726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28</xdr:row>
      <xdr:rowOff>167268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C47C2E7-14DD-45C4-9301-7070A36DC340}"/>
            </a:ext>
          </a:extLst>
        </xdr:cNvPr>
        <xdr:cNvSpPr/>
      </xdr:nvSpPr>
      <xdr:spPr>
        <a:xfrm>
          <a:off x="6315075" y="4457700"/>
          <a:ext cx="1333500" cy="16726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</xdr:colOff>
      <xdr:row>9</xdr:row>
      <xdr:rowOff>83634</xdr:rowOff>
    </xdr:from>
    <xdr:to>
      <xdr:col>5</xdr:col>
      <xdr:colOff>608670</xdr:colOff>
      <xdr:row>12</xdr:row>
      <xdr:rowOff>83634</xdr:rowOff>
    </xdr:to>
    <xdr:cxnSp macro="">
      <xdr:nvCxnSpPr>
        <xdr:cNvPr id="23" name="연결선: 꺾임 22">
          <a:extLst>
            <a:ext uri="{FF2B5EF4-FFF2-40B4-BE49-F238E27FC236}">
              <a16:creationId xmlns:a16="http://schemas.microsoft.com/office/drawing/2014/main" id="{FB2F602E-3C16-983D-D209-25FD602010B9}"/>
            </a:ext>
          </a:extLst>
        </xdr:cNvPr>
        <xdr:cNvCxnSpPr>
          <a:stCxn id="5" idx="3"/>
          <a:endCxn id="6" idx="1"/>
        </xdr:cNvCxnSpPr>
      </xdr:nvCxnSpPr>
      <xdr:spPr>
        <a:xfrm>
          <a:off x="7648576" y="1626684"/>
          <a:ext cx="608669" cy="514350"/>
        </a:xfrm>
        <a:prstGeom prst="bentConnector3">
          <a:avLst/>
        </a:prstGeom>
        <a:ln w="12700">
          <a:solidFill>
            <a:srgbClr val="EC5A8E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</xdr:row>
      <xdr:rowOff>83634</xdr:rowOff>
    </xdr:from>
    <xdr:to>
      <xdr:col>4</xdr:col>
      <xdr:colOff>1</xdr:colOff>
      <xdr:row>9</xdr:row>
      <xdr:rowOff>83634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7DEB7286-3B13-41AF-3B62-99D0D8E36CC2}"/>
            </a:ext>
          </a:extLst>
        </xdr:cNvPr>
        <xdr:cNvCxnSpPr>
          <a:stCxn id="4" idx="3"/>
          <a:endCxn id="5" idx="1"/>
        </xdr:cNvCxnSpPr>
      </xdr:nvCxnSpPr>
      <xdr:spPr>
        <a:xfrm>
          <a:off x="5705475" y="1626684"/>
          <a:ext cx="609601" cy="0"/>
        </a:xfrm>
        <a:prstGeom prst="straightConnector1">
          <a:avLst/>
        </a:prstGeom>
        <a:ln w="12700">
          <a:solidFill>
            <a:srgbClr val="EC5A8E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83634</xdr:rowOff>
    </xdr:from>
    <xdr:to>
      <xdr:col>5</xdr:col>
      <xdr:colOff>608670</xdr:colOff>
      <xdr:row>28</xdr:row>
      <xdr:rowOff>83634</xdr:rowOff>
    </xdr:to>
    <xdr:cxnSp macro="">
      <xdr:nvCxnSpPr>
        <xdr:cNvPr id="28" name="연결선: 꺾임 27">
          <a:extLst>
            <a:ext uri="{FF2B5EF4-FFF2-40B4-BE49-F238E27FC236}">
              <a16:creationId xmlns:a16="http://schemas.microsoft.com/office/drawing/2014/main" id="{06225AA4-4932-4260-8109-6D1710B48831}"/>
            </a:ext>
          </a:extLst>
        </xdr:cNvPr>
        <xdr:cNvCxnSpPr>
          <a:stCxn id="14" idx="3"/>
          <a:endCxn id="7" idx="1"/>
        </xdr:cNvCxnSpPr>
      </xdr:nvCxnSpPr>
      <xdr:spPr>
        <a:xfrm flipV="1">
          <a:off x="5210175" y="2531559"/>
          <a:ext cx="608670" cy="2571750"/>
        </a:xfrm>
        <a:prstGeom prst="bentConnector3">
          <a:avLst>
            <a:gd name="adj1" fmla="val 50000"/>
          </a:avLst>
        </a:prstGeom>
        <a:ln w="12700">
          <a:solidFill>
            <a:schemeClr val="accent6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</xdr:row>
      <xdr:rowOff>83634</xdr:rowOff>
    </xdr:from>
    <xdr:to>
      <xdr:col>2</xdr:col>
      <xdr:colOff>12700</xdr:colOff>
      <xdr:row>20</xdr:row>
      <xdr:rowOff>83634</xdr:rowOff>
    </xdr:to>
    <xdr:cxnSp macro="">
      <xdr:nvCxnSpPr>
        <xdr:cNvPr id="31" name="연결선: 꺾임 30">
          <a:extLst>
            <a:ext uri="{FF2B5EF4-FFF2-40B4-BE49-F238E27FC236}">
              <a16:creationId xmlns:a16="http://schemas.microsoft.com/office/drawing/2014/main" id="{9CA16F6E-5064-41FF-9117-C83F73F6EE69}"/>
            </a:ext>
          </a:extLst>
        </xdr:cNvPr>
        <xdr:cNvCxnSpPr>
          <a:stCxn id="12" idx="1"/>
          <a:endCxn id="8" idx="1"/>
        </xdr:cNvCxnSpPr>
      </xdr:nvCxnSpPr>
      <xdr:spPr>
        <a:xfrm rot="10800000">
          <a:off x="3657600" y="1798134"/>
          <a:ext cx="12700" cy="1543050"/>
        </a:xfrm>
        <a:prstGeom prst="bentConnector3">
          <a:avLst>
            <a:gd name="adj1" fmla="val 1800000"/>
          </a:avLst>
        </a:prstGeom>
        <a:ln w="12700">
          <a:solidFill>
            <a:schemeClr val="accent2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930</xdr:colOff>
      <xdr:row>11</xdr:row>
      <xdr:rowOff>83634</xdr:rowOff>
    </xdr:from>
    <xdr:to>
      <xdr:col>4</xdr:col>
      <xdr:colOff>0</xdr:colOff>
      <xdr:row>20</xdr:row>
      <xdr:rowOff>83634</xdr:rowOff>
    </xdr:to>
    <xdr:cxnSp macro="">
      <xdr:nvCxnSpPr>
        <xdr:cNvPr id="34" name="연결선: 꺾임 33">
          <a:extLst>
            <a:ext uri="{FF2B5EF4-FFF2-40B4-BE49-F238E27FC236}">
              <a16:creationId xmlns:a16="http://schemas.microsoft.com/office/drawing/2014/main" id="{8381E50A-A089-49C3-A7D3-5FEFECB942FA}"/>
            </a:ext>
          </a:extLst>
        </xdr:cNvPr>
        <xdr:cNvCxnSpPr>
          <a:stCxn id="13" idx="1"/>
          <a:endCxn id="10" idx="3"/>
        </xdr:cNvCxnSpPr>
      </xdr:nvCxnSpPr>
      <xdr:spPr>
        <a:xfrm rot="10800000">
          <a:off x="5706405" y="1969584"/>
          <a:ext cx="608670" cy="1371600"/>
        </a:xfrm>
        <a:prstGeom prst="bentConnector3">
          <a:avLst>
            <a:gd name="adj1" fmla="val 32786"/>
          </a:avLst>
        </a:prstGeom>
        <a:ln w="12700">
          <a:solidFill>
            <a:schemeClr val="accent4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930</xdr:colOff>
      <xdr:row>12</xdr:row>
      <xdr:rowOff>83634</xdr:rowOff>
    </xdr:from>
    <xdr:to>
      <xdr:col>4</xdr:col>
      <xdr:colOff>0</xdr:colOff>
      <xdr:row>28</xdr:row>
      <xdr:rowOff>83634</xdr:rowOff>
    </xdr:to>
    <xdr:cxnSp macro="">
      <xdr:nvCxnSpPr>
        <xdr:cNvPr id="37" name="연결선: 꺾임 36">
          <a:extLst>
            <a:ext uri="{FF2B5EF4-FFF2-40B4-BE49-F238E27FC236}">
              <a16:creationId xmlns:a16="http://schemas.microsoft.com/office/drawing/2014/main" id="{ACDAD22D-1838-4B3D-A095-C3A3197242CF}"/>
            </a:ext>
          </a:extLst>
        </xdr:cNvPr>
        <xdr:cNvCxnSpPr>
          <a:stCxn id="14" idx="1"/>
          <a:endCxn id="11" idx="3"/>
        </xdr:cNvCxnSpPr>
      </xdr:nvCxnSpPr>
      <xdr:spPr>
        <a:xfrm rot="10800000">
          <a:off x="3268005" y="2360109"/>
          <a:ext cx="608670" cy="2743200"/>
        </a:xfrm>
        <a:prstGeom prst="bentConnector3">
          <a:avLst>
            <a:gd name="adj1" fmla="val 57824"/>
          </a:avLst>
        </a:prstGeom>
        <a:ln w="12700">
          <a:solidFill>
            <a:schemeClr val="accent6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0</xdr:colOff>
      <xdr:row>29</xdr:row>
      <xdr:rowOff>167268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7C8A527F-4174-4242-B81B-1ABB9599397D}"/>
            </a:ext>
          </a:extLst>
        </xdr:cNvPr>
        <xdr:cNvSpPr/>
      </xdr:nvSpPr>
      <xdr:spPr>
        <a:xfrm>
          <a:off x="4486275" y="4848225"/>
          <a:ext cx="1333500" cy="16726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0</xdr:colOff>
      <xdr:row>19</xdr:row>
      <xdr:rowOff>83634</xdr:rowOff>
    </xdr:from>
    <xdr:to>
      <xdr:col>6</xdr:col>
      <xdr:colOff>0</xdr:colOff>
      <xdr:row>29</xdr:row>
      <xdr:rowOff>83634</xdr:rowOff>
    </xdr:to>
    <xdr:cxnSp macro="">
      <xdr:nvCxnSpPr>
        <xdr:cNvPr id="48" name="연결선: 꺾임 47">
          <a:extLst>
            <a:ext uri="{FF2B5EF4-FFF2-40B4-BE49-F238E27FC236}">
              <a16:creationId xmlns:a16="http://schemas.microsoft.com/office/drawing/2014/main" id="{0908AA38-8724-4E0B-9413-B8EF75E6645E}"/>
            </a:ext>
          </a:extLst>
        </xdr:cNvPr>
        <xdr:cNvCxnSpPr>
          <a:stCxn id="47" idx="3"/>
          <a:endCxn id="50" idx="1"/>
        </xdr:cNvCxnSpPr>
      </xdr:nvCxnSpPr>
      <xdr:spPr>
        <a:xfrm flipV="1">
          <a:off x="5210175" y="3560259"/>
          <a:ext cx="609600" cy="1714500"/>
        </a:xfrm>
        <a:prstGeom prst="bentConnector3">
          <a:avLst>
            <a:gd name="adj1" fmla="val 76563"/>
          </a:avLst>
        </a:prstGeom>
        <a:ln w="12700">
          <a:solidFill>
            <a:schemeClr val="accent5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</xdr:row>
      <xdr:rowOff>0</xdr:rowOff>
    </xdr:from>
    <xdr:to>
      <xdr:col>7</xdr:col>
      <xdr:colOff>930</xdr:colOff>
      <xdr:row>19</xdr:row>
      <xdr:rowOff>167268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6622C45B-8318-428A-8A80-E6F57166559F}"/>
            </a:ext>
          </a:extLst>
        </xdr:cNvPr>
        <xdr:cNvSpPr/>
      </xdr:nvSpPr>
      <xdr:spPr>
        <a:xfrm>
          <a:off x="6429375" y="3305175"/>
          <a:ext cx="1772580" cy="16726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981075</xdr:colOff>
      <xdr:row>11</xdr:row>
      <xdr:rowOff>38100</xdr:rowOff>
    </xdr:from>
    <xdr:to>
      <xdr:col>2</xdr:col>
      <xdr:colOff>1104900</xdr:colOff>
      <xdr:row>15</xdr:row>
      <xdr:rowOff>133350</xdr:rowOff>
    </xdr:to>
    <xdr:sp macro="" textlink="">
      <xdr:nvSpPr>
        <xdr:cNvPr id="2" name="오른쪽 대괄호 1">
          <a:extLst>
            <a:ext uri="{FF2B5EF4-FFF2-40B4-BE49-F238E27FC236}">
              <a16:creationId xmlns:a16="http://schemas.microsoft.com/office/drawing/2014/main" id="{DD359F16-5150-68A7-CE49-8CF3E02AEEA5}"/>
            </a:ext>
          </a:extLst>
        </xdr:cNvPr>
        <xdr:cNvSpPr/>
      </xdr:nvSpPr>
      <xdr:spPr>
        <a:xfrm>
          <a:off x="2943225" y="2238375"/>
          <a:ext cx="123825" cy="895350"/>
        </a:xfrm>
        <a:prstGeom prst="rightBracket">
          <a:avLst/>
        </a:prstGeom>
        <a:ln>
          <a:solidFill>
            <a:schemeClr val="tx1">
              <a:lumMod val="85000"/>
              <a:lumOff val="1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3ECD-2E9A-4658-B14B-0B7A23DC621A}">
  <dimension ref="A1:BD95"/>
  <sheetViews>
    <sheetView showGridLines="0" tabSelected="1" workbookViewId="0"/>
  </sheetViews>
  <sheetFormatPr defaultColWidth="3.28515625" defaultRowHeight="13.5" x14ac:dyDescent="0.25"/>
  <cols>
    <col min="3" max="3" width="3.28515625" customWidth="1"/>
    <col min="5" max="5" width="3.28515625" customWidth="1"/>
  </cols>
  <sheetData>
    <row r="1" spans="1:56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1:56" ht="17.25" x14ac:dyDescent="0.25">
      <c r="A3" s="2"/>
      <c r="B3" s="2"/>
      <c r="C3" s="8"/>
      <c r="D3" s="9"/>
      <c r="E3" s="9"/>
      <c r="F3" s="10"/>
      <c r="G3" s="11"/>
      <c r="H3" s="11" t="s">
        <v>0</v>
      </c>
      <c r="I3" s="9"/>
      <c r="J3" s="9"/>
      <c r="K3" s="9"/>
      <c r="L3" s="9"/>
      <c r="M3" s="1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 spans="1:5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 spans="1:5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 spans="1:5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56" ht="16.5" x14ac:dyDescent="0.25">
      <c r="A7" s="2"/>
      <c r="B7" s="2"/>
      <c r="C7" s="7">
        <v>1</v>
      </c>
      <c r="D7" s="3" t="s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20"/>
      <c r="AX7" s="20"/>
      <c r="AY7" s="4"/>
      <c r="AZ7" s="2"/>
      <c r="BA7" s="2"/>
      <c r="BB7" s="2"/>
      <c r="BC7" s="2"/>
      <c r="BD7" s="2"/>
    </row>
    <row r="8" spans="1:5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 spans="1:56" x14ac:dyDescent="0.25">
      <c r="A9" s="2"/>
      <c r="B9" s="2"/>
      <c r="C9" s="2"/>
      <c r="D9" s="2"/>
      <c r="E9" s="13" t="s">
        <v>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spans="1:56" x14ac:dyDescent="0.25">
      <c r="A10" s="2"/>
      <c r="B10" s="2"/>
      <c r="C10" s="2"/>
      <c r="D10" s="2"/>
      <c r="E10" s="1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x14ac:dyDescent="0.25">
      <c r="A11" s="2"/>
      <c r="B11" s="2"/>
      <c r="C11" s="2"/>
      <c r="D11" s="2"/>
      <c r="E11" s="13" t="s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 spans="1:56" x14ac:dyDescent="0.25">
      <c r="A12" s="2"/>
      <c r="B12" s="2"/>
      <c r="C12" s="2"/>
      <c r="D12" s="2"/>
      <c r="E12" s="13"/>
      <c r="F12" s="14" t="s">
        <v>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x14ac:dyDescent="0.25">
      <c r="A13" s="2"/>
      <c r="B13" s="2"/>
      <c r="C13" s="2"/>
      <c r="D13" s="2"/>
      <c r="E13" s="2"/>
      <c r="F13" s="2"/>
      <c r="G13" s="14" t="s">
        <v>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 spans="1:56" x14ac:dyDescent="0.25">
      <c r="A14" s="2"/>
      <c r="B14" s="2"/>
      <c r="C14" s="2"/>
      <c r="D14" s="2"/>
      <c r="E14" s="2"/>
      <c r="F14" s="2"/>
      <c r="G14" s="1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 spans="1:56" x14ac:dyDescent="0.25">
      <c r="A15" s="2"/>
      <c r="B15" s="2"/>
      <c r="C15" s="6"/>
      <c r="D15" s="6"/>
      <c r="E15" s="5" t="s">
        <v>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3"/>
      <c r="AX15" s="2"/>
      <c r="AY15" s="2"/>
      <c r="AZ15" s="2"/>
      <c r="BA15" s="2"/>
      <c r="BB15" s="2"/>
      <c r="BC15" s="2"/>
      <c r="BD15" s="2"/>
    </row>
    <row r="16" spans="1:56" x14ac:dyDescent="0.25">
      <c r="A16" s="2"/>
      <c r="B16" s="2"/>
      <c r="C16" s="6"/>
      <c r="D16" s="6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3"/>
      <c r="AX16" s="2"/>
      <c r="AY16" s="2"/>
      <c r="AZ16" s="2"/>
      <c r="BA16" s="2"/>
      <c r="BB16" s="2"/>
      <c r="BC16" s="2"/>
      <c r="BD16" s="2"/>
    </row>
    <row r="17" spans="1:56" x14ac:dyDescent="0.25">
      <c r="A17" s="2"/>
      <c r="B17" s="2"/>
      <c r="C17" s="1"/>
      <c r="D17" s="1"/>
      <c r="E17" s="5" t="s">
        <v>82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 spans="1:56" x14ac:dyDescent="0.25">
      <c r="A18" s="2"/>
      <c r="B18" s="2"/>
      <c r="C18" s="1"/>
      <c r="D18" s="1"/>
      <c r="E18" s="13"/>
      <c r="F18" s="14" t="s">
        <v>83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 x14ac:dyDescent="0.25">
      <c r="A19" s="2"/>
      <c r="B19" s="2"/>
      <c r="C19" s="1"/>
      <c r="D19" s="1"/>
      <c r="E19" s="13"/>
      <c r="F19" s="14"/>
      <c r="G19" s="14" t="s">
        <v>120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56" x14ac:dyDescent="0.25">
      <c r="A20" s="2"/>
      <c r="B20" s="2"/>
      <c r="C20" s="1"/>
      <c r="D20" s="1"/>
      <c r="E20" s="1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 spans="1:56" x14ac:dyDescent="0.25">
      <c r="A21" s="2"/>
      <c r="B21" s="2"/>
      <c r="C21" s="2"/>
      <c r="D21" s="2"/>
      <c r="E21" s="13" t="s">
        <v>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15"/>
      <c r="AX21" s="2"/>
      <c r="AY21" s="2"/>
      <c r="AZ21" s="2"/>
      <c r="BA21" s="2"/>
      <c r="BB21" s="2"/>
      <c r="BC21" s="2"/>
      <c r="BD21" s="2"/>
    </row>
    <row r="22" spans="1:56" x14ac:dyDescent="0.25">
      <c r="A22" s="2"/>
      <c r="B22" s="2"/>
      <c r="C22" s="2"/>
      <c r="D22" s="2"/>
      <c r="E22" s="13"/>
      <c r="F22" s="14" t="s">
        <v>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5"/>
      <c r="AX22" s="16"/>
      <c r="AY22" s="2"/>
      <c r="AZ22" s="2"/>
      <c r="BA22" s="2"/>
      <c r="BB22" s="2"/>
      <c r="BC22" s="2"/>
      <c r="BD22" s="2"/>
    </row>
    <row r="23" spans="1:56" x14ac:dyDescent="0.25">
      <c r="A23" s="2"/>
      <c r="B23" s="2"/>
      <c r="C23" s="2"/>
      <c r="D23" s="2"/>
      <c r="E23" s="13"/>
      <c r="F23" s="14" t="s">
        <v>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6"/>
      <c r="AX23" s="16"/>
      <c r="AY23" s="2"/>
      <c r="AZ23" s="2"/>
      <c r="BA23" s="2"/>
      <c r="BB23" s="2"/>
      <c r="BC23" s="2"/>
      <c r="BD23" s="2"/>
    </row>
    <row r="24" spans="1:56" x14ac:dyDescent="0.25">
      <c r="A24" s="2"/>
      <c r="B24" s="2"/>
      <c r="C24" s="2"/>
      <c r="D24" s="2"/>
      <c r="E24" s="1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5"/>
      <c r="AX24" s="2"/>
      <c r="AY24" s="2"/>
      <c r="AZ24" s="2"/>
      <c r="BA24" s="2"/>
      <c r="BB24" s="2"/>
      <c r="BC24" s="2"/>
      <c r="BD24" s="2"/>
    </row>
    <row r="25" spans="1:56" x14ac:dyDescent="0.25">
      <c r="A25" s="2"/>
      <c r="B25" s="2"/>
      <c r="C25" s="2"/>
      <c r="D25" s="2"/>
      <c r="E25" s="13" t="s">
        <v>11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spans="1:56" x14ac:dyDescent="0.25">
      <c r="A26" s="2"/>
      <c r="B26" s="2"/>
      <c r="C26" s="2"/>
      <c r="D26" s="2"/>
      <c r="E26" s="1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 spans="1:56" x14ac:dyDescent="0.25">
      <c r="A27" s="2"/>
      <c r="B27" s="2"/>
      <c r="C27" s="2"/>
      <c r="D27" s="2"/>
      <c r="E27" s="13" t="s">
        <v>10</v>
      </c>
      <c r="F27" s="2"/>
      <c r="G27" s="2"/>
      <c r="H27" s="2"/>
      <c r="I27" s="2"/>
      <c r="J27" s="2"/>
      <c r="K27" s="2"/>
      <c r="L27" s="2"/>
      <c r="M27" s="2"/>
      <c r="N27" s="53" t="s">
        <v>12</v>
      </c>
      <c r="O27" s="17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 x14ac:dyDescent="0.25">
      <c r="A28" s="2"/>
      <c r="B28" s="2"/>
      <c r="C28" s="2"/>
      <c r="D28" s="2"/>
      <c r="E28" s="13"/>
      <c r="F28" s="1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 spans="1:5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5"/>
      <c r="AX30" s="16"/>
      <c r="AY30" s="2"/>
      <c r="AZ30" s="2"/>
      <c r="BA30" s="2"/>
      <c r="BB30" s="2"/>
      <c r="BC30" s="2"/>
      <c r="BD30" s="2"/>
    </row>
    <row r="31" spans="1:56" ht="16.5" x14ac:dyDescent="0.25">
      <c r="A31" s="2"/>
      <c r="B31" s="2"/>
      <c r="C31" s="7">
        <v>2</v>
      </c>
      <c r="D31" s="3" t="s">
        <v>15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20"/>
      <c r="AX31" s="20"/>
      <c r="AY31" s="4"/>
      <c r="AZ31" s="2"/>
      <c r="BA31" s="2"/>
      <c r="BB31" s="2"/>
      <c r="BC31" s="2"/>
      <c r="BD31" s="2"/>
    </row>
    <row r="32" spans="1:5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 spans="1:5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15"/>
      <c r="AW33" s="15"/>
      <c r="AX33" s="16"/>
      <c r="AY33" s="16"/>
      <c r="AZ33" s="2"/>
      <c r="BA33" s="2"/>
      <c r="BB33" s="2"/>
      <c r="BC33" s="2"/>
      <c r="BD33" s="2"/>
    </row>
    <row r="34" spans="1:5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16"/>
      <c r="AW34" s="16"/>
      <c r="AX34" s="16"/>
      <c r="AY34" s="16"/>
      <c r="AZ34" s="2"/>
      <c r="BA34" s="2"/>
      <c r="BB34" s="2"/>
      <c r="BC34" s="2"/>
      <c r="BD34" s="2"/>
    </row>
    <row r="35" spans="1:5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 spans="1:5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spans="1:5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spans="1:5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spans="1:5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spans="1:5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spans="1:5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5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spans="1:5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spans="1:5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spans="1:5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spans="1:5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spans="1:5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spans="1:5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spans="1:5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spans="1:5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5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:5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5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 spans="1:5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spans="1:5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:5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:5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:5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18"/>
      <c r="S59" s="9"/>
      <c r="T59" s="19" t="s">
        <v>13</v>
      </c>
      <c r="U59" s="9"/>
      <c r="V59" s="1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spans="1:56" ht="3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 spans="1:5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30" t="s">
        <v>81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 spans="1:5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spans="1:5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spans="1:5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 spans="1:5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spans="1:5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1:5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 spans="1:5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spans="1:5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spans="1:5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 spans="1:5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 spans="1:5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spans="1:5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spans="1:5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 spans="1:5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spans="1:5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spans="1:5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 spans="1:5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spans="1:5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spans="1:5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 spans="1:5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spans="1:5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1:5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 spans="1:5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spans="1:5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spans="1:5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 spans="1:5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18"/>
      <c r="S91" s="9"/>
      <c r="T91" s="19" t="s">
        <v>14</v>
      </c>
      <c r="U91" s="9"/>
      <c r="V91" s="1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spans="1:5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spans="1:5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 spans="1:5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 spans="1:5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95C8-F357-4E74-AEB3-6B705A36FC1A}">
  <dimension ref="A1:BX373"/>
  <sheetViews>
    <sheetView showGridLines="0" zoomScaleNormal="100" workbookViewId="0"/>
  </sheetViews>
  <sheetFormatPr defaultColWidth="3.28515625" defaultRowHeight="13.5" x14ac:dyDescent="0.25"/>
  <cols>
    <col min="43" max="43" width="5" customWidth="1"/>
  </cols>
  <sheetData>
    <row r="1" spans="1:7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</row>
    <row r="2" spans="1:7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</row>
    <row r="3" spans="1:76" ht="17.25" x14ac:dyDescent="0.25">
      <c r="A3" s="2"/>
      <c r="B3" s="2"/>
      <c r="C3" s="2"/>
      <c r="D3" s="8"/>
      <c r="E3" s="9"/>
      <c r="F3" s="9"/>
      <c r="G3" s="11"/>
      <c r="H3" s="11" t="s">
        <v>123</v>
      </c>
      <c r="I3" s="9"/>
      <c r="J3" s="9"/>
      <c r="K3" s="9"/>
      <c r="L3" s="1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</row>
    <row r="4" spans="1:7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</row>
    <row r="5" spans="1:7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</row>
    <row r="6" spans="1:7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</row>
    <row r="7" spans="1:76" ht="16.5" x14ac:dyDescent="0.25">
      <c r="A7" s="2"/>
      <c r="B7" s="2"/>
      <c r="C7" s="2"/>
      <c r="D7" s="7">
        <v>1</v>
      </c>
      <c r="E7" s="3" t="s">
        <v>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20"/>
      <c r="AY7" s="20"/>
      <c r="AZ7" s="4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</row>
    <row r="8" spans="1:7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</row>
    <row r="9" spans="1:7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 t="s">
        <v>130</v>
      </c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</row>
    <row r="10" spans="1:7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</row>
    <row r="11" spans="1:7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60" t="s">
        <v>128</v>
      </c>
      <c r="AR11" s="61" t="s">
        <v>129</v>
      </c>
      <c r="AS11" s="58"/>
      <c r="AT11" s="58"/>
      <c r="AU11" s="58"/>
      <c r="AV11" s="58"/>
      <c r="AW11" s="58"/>
      <c r="AX11" s="58"/>
      <c r="AY11" s="59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</row>
    <row r="12" spans="1:7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60">
        <v>1</v>
      </c>
      <c r="AR12" s="62" t="s">
        <v>124</v>
      </c>
      <c r="AS12" s="55"/>
      <c r="AT12" s="55"/>
      <c r="AU12" s="55"/>
      <c r="AV12" s="55"/>
      <c r="AW12" s="55"/>
      <c r="AX12" s="55"/>
      <c r="AY12" s="56"/>
      <c r="AZ12" s="105" t="s">
        <v>314</v>
      </c>
      <c r="BA12" s="106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</row>
    <row r="13" spans="1:7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60">
        <v>2</v>
      </c>
      <c r="AR13" s="63" t="s">
        <v>125</v>
      </c>
      <c r="AS13" s="55"/>
      <c r="AT13" s="55"/>
      <c r="AU13" s="55"/>
      <c r="AV13" s="55"/>
      <c r="AW13" s="55"/>
      <c r="AX13" s="55"/>
      <c r="AY13" s="56"/>
      <c r="AZ13" s="105" t="s">
        <v>314</v>
      </c>
      <c r="BA13" s="106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</row>
    <row r="14" spans="1:7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60">
        <v>3</v>
      </c>
      <c r="AR14" s="63" t="s">
        <v>126</v>
      </c>
      <c r="AS14" s="55"/>
      <c r="AT14" s="55"/>
      <c r="AU14" s="55"/>
      <c r="AV14" s="55"/>
      <c r="AW14" s="55"/>
      <c r="AX14" s="55"/>
      <c r="AY14" s="56"/>
      <c r="AZ14" s="105" t="s">
        <v>314</v>
      </c>
      <c r="BA14" s="106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</row>
    <row r="15" spans="1:7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60">
        <v>4</v>
      </c>
      <c r="AR15" s="63" t="s">
        <v>127</v>
      </c>
      <c r="AS15" s="55"/>
      <c r="AT15" s="55"/>
      <c r="AU15" s="55"/>
      <c r="AV15" s="55"/>
      <c r="AW15" s="55"/>
      <c r="AX15" s="55"/>
      <c r="AY15" s="56"/>
      <c r="AZ15" s="105" t="s">
        <v>314</v>
      </c>
      <c r="BA15" s="106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</row>
    <row r="16" spans="1:7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</row>
    <row r="17" spans="1:7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</row>
    <row r="18" spans="1:7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</row>
    <row r="19" spans="1:7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</row>
    <row r="20" spans="1:7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</row>
    <row r="21" spans="1:7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</row>
    <row r="22" spans="1:7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</row>
    <row r="23" spans="1:7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</row>
    <row r="24" spans="1:7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</row>
    <row r="25" spans="1:7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</row>
    <row r="26" spans="1:7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</row>
    <row r="27" spans="1:7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</row>
    <row r="28" spans="1:7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</row>
    <row r="29" spans="1:7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</row>
    <row r="30" spans="1:7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</row>
    <row r="31" spans="1:7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</row>
    <row r="32" spans="1:7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</row>
    <row r="33" spans="1:7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</row>
    <row r="34" spans="1:7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</row>
    <row r="35" spans="1:7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</row>
    <row r="36" spans="1:76" ht="26.2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54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</row>
    <row r="37" spans="1:76" ht="16.5" x14ac:dyDescent="0.25">
      <c r="A37" s="2"/>
      <c r="B37" s="2"/>
      <c r="C37" s="2"/>
      <c r="D37" s="7">
        <v>2</v>
      </c>
      <c r="E37" s="3" t="s">
        <v>131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20"/>
      <c r="AY37" s="20"/>
      <c r="AZ37" s="4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</row>
    <row r="38" spans="1:7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</row>
    <row r="39" spans="1:76" ht="16.5" customHeight="1" x14ac:dyDescent="0.25">
      <c r="A39" s="2"/>
      <c r="B39" s="2"/>
      <c r="C39" s="2"/>
      <c r="D39" s="2"/>
      <c r="E39" s="64">
        <v>1</v>
      </c>
      <c r="F39" s="74" t="s">
        <v>132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</row>
    <row r="40" spans="1:76" ht="9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</row>
    <row r="41" spans="1:7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70" t="s">
        <v>134</v>
      </c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</row>
    <row r="42" spans="1:7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71"/>
      <c r="AQ42" s="13" t="s">
        <v>133</v>
      </c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</row>
    <row r="43" spans="1:7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71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</row>
    <row r="44" spans="1:7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71"/>
      <c r="AQ44" s="13" t="s">
        <v>150</v>
      </c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</row>
    <row r="45" spans="1:76" ht="6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71"/>
      <c r="AQ45" s="13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</row>
    <row r="46" spans="1:7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71"/>
      <c r="AQ46" s="57"/>
      <c r="AR46" s="58"/>
      <c r="AS46" s="45"/>
      <c r="AT46" s="45" t="s">
        <v>118</v>
      </c>
      <c r="AU46" s="58"/>
      <c r="AV46" s="45"/>
      <c r="AW46" s="59"/>
      <c r="AX46" s="45"/>
      <c r="AY46" s="45" t="s">
        <v>154</v>
      </c>
      <c r="AZ46" s="59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</row>
    <row r="47" spans="1:7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71"/>
      <c r="AQ47" s="66"/>
      <c r="AR47" s="67"/>
      <c r="AS47" s="68"/>
      <c r="AT47" s="68" t="s">
        <v>199</v>
      </c>
      <c r="AU47" s="67"/>
      <c r="AV47" s="68"/>
      <c r="AW47" s="69"/>
      <c r="AX47" s="68"/>
      <c r="AY47" s="68" t="s">
        <v>198</v>
      </c>
      <c r="AZ47" s="69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</row>
    <row r="48" spans="1:7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71"/>
      <c r="AQ48" s="13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</row>
    <row r="49" spans="1:7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71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</row>
    <row r="50" spans="1:7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71"/>
      <c r="AQ50" s="13" t="s">
        <v>135</v>
      </c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</row>
    <row r="51" spans="1:7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71"/>
      <c r="AQ51" s="53"/>
      <c r="AR51" s="53" t="s">
        <v>222</v>
      </c>
      <c r="AS51" s="2"/>
      <c r="AT51" s="2"/>
      <c r="AU51" s="2"/>
      <c r="AV51" s="2"/>
      <c r="AW51" s="2"/>
      <c r="AX51" s="53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</row>
    <row r="52" spans="1:7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71"/>
      <c r="AQ52" s="60" t="s">
        <v>128</v>
      </c>
      <c r="AR52" s="61" t="s">
        <v>136</v>
      </c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9"/>
      <c r="BP52" s="61" t="s">
        <v>118</v>
      </c>
      <c r="BQ52" s="58"/>
      <c r="BR52" s="58"/>
      <c r="BS52" s="58"/>
      <c r="BT52" s="58"/>
      <c r="BU52" s="58"/>
      <c r="BV52" s="58"/>
      <c r="BW52" s="59"/>
      <c r="BX52" s="2"/>
    </row>
    <row r="53" spans="1:7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71"/>
      <c r="AQ53" s="65" t="s">
        <v>140</v>
      </c>
      <c r="AR53" s="62" t="s">
        <v>137</v>
      </c>
      <c r="AS53" s="55"/>
      <c r="AT53" s="55"/>
      <c r="AU53" s="55"/>
      <c r="AV53" s="55"/>
      <c r="AW53" s="55"/>
      <c r="AX53" s="55"/>
      <c r="AY53" s="56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6"/>
      <c r="BP53" s="62" t="s">
        <v>200</v>
      </c>
      <c r="BQ53" s="55"/>
      <c r="BR53" s="55"/>
      <c r="BS53" s="55"/>
      <c r="BT53" s="55"/>
      <c r="BU53" s="55"/>
      <c r="BV53" s="55"/>
      <c r="BW53" s="56"/>
      <c r="BX53" s="2"/>
    </row>
    <row r="54" spans="1:7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71"/>
      <c r="AQ54" s="65" t="s">
        <v>141</v>
      </c>
      <c r="AR54" s="63" t="s">
        <v>138</v>
      </c>
      <c r="AS54" s="55"/>
      <c r="AT54" s="55"/>
      <c r="AU54" s="55"/>
      <c r="AV54" s="55"/>
      <c r="AW54" s="55"/>
      <c r="AX54" s="55"/>
      <c r="AY54" s="56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6"/>
      <c r="BP54" s="62" t="s">
        <v>201</v>
      </c>
      <c r="BQ54" s="55"/>
      <c r="BR54" s="55"/>
      <c r="BS54" s="55"/>
      <c r="BT54" s="55"/>
      <c r="BU54" s="55"/>
      <c r="BV54" s="55"/>
      <c r="BW54" s="56"/>
      <c r="BX54" s="2"/>
    </row>
    <row r="55" spans="1:7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71"/>
      <c r="AQ55" s="65" t="s">
        <v>142</v>
      </c>
      <c r="AR55" s="63" t="s">
        <v>139</v>
      </c>
      <c r="AS55" s="55"/>
      <c r="AT55" s="55"/>
      <c r="AU55" s="55"/>
      <c r="AV55" s="55"/>
      <c r="AW55" s="55"/>
      <c r="AX55" s="55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62" t="s">
        <v>202</v>
      </c>
      <c r="BQ55" s="55"/>
      <c r="BR55" s="55"/>
      <c r="BS55" s="55"/>
      <c r="BT55" s="55"/>
      <c r="BU55" s="55"/>
      <c r="BV55" s="55"/>
      <c r="BW55" s="56"/>
      <c r="BX55" s="2"/>
    </row>
    <row r="56" spans="1:7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71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</row>
    <row r="57" spans="1:7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71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</row>
    <row r="58" spans="1:7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70" t="s">
        <v>143</v>
      </c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</row>
    <row r="59" spans="1:7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71"/>
      <c r="AQ59" s="13" t="s">
        <v>144</v>
      </c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</row>
    <row r="60" spans="1:7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</row>
    <row r="61" spans="1:7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13" t="s">
        <v>145</v>
      </c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</row>
    <row r="62" spans="1:7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</row>
    <row r="63" spans="1:7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</row>
    <row r="64" spans="1:7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</row>
    <row r="65" spans="1:7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</row>
    <row r="66" spans="1:7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</row>
    <row r="67" spans="1:7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</row>
    <row r="68" spans="1:7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</row>
    <row r="69" spans="1:7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</row>
    <row r="70" spans="1:7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</row>
    <row r="71" spans="1:7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</row>
    <row r="72" spans="1:7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</row>
    <row r="73" spans="1:7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</row>
    <row r="74" spans="1:76" ht="16.5" customHeight="1" x14ac:dyDescent="0.25">
      <c r="A74" s="2"/>
      <c r="B74" s="2"/>
      <c r="C74" s="2"/>
      <c r="D74" s="2"/>
      <c r="E74" s="64">
        <v>2</v>
      </c>
      <c r="F74" s="74" t="s">
        <v>146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</row>
    <row r="75" spans="1:76" ht="9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</row>
    <row r="76" spans="1:7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70" t="s">
        <v>147</v>
      </c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</row>
    <row r="77" spans="1:76" ht="7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13"/>
      <c r="AR77" s="2"/>
      <c r="AS77" s="2"/>
      <c r="AT77" s="13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</row>
    <row r="78" spans="1:7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13" t="s">
        <v>151</v>
      </c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</row>
    <row r="79" spans="1:76" ht="5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</row>
    <row r="80" spans="1:7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57"/>
      <c r="AU80" s="58"/>
      <c r="AV80" s="45"/>
      <c r="AW80" s="45" t="s">
        <v>152</v>
      </c>
      <c r="AX80" s="58"/>
      <c r="AY80" s="58"/>
      <c r="AZ80" s="59"/>
      <c r="BA80" s="58"/>
      <c r="BB80" s="58"/>
      <c r="BC80" s="45"/>
      <c r="BD80" s="45" t="s">
        <v>153</v>
      </c>
      <c r="BE80" s="58"/>
      <c r="BF80" s="58"/>
      <c r="BG80" s="45"/>
      <c r="BH80" s="57"/>
      <c r="BI80" s="45"/>
      <c r="BJ80" s="45" t="s">
        <v>154</v>
      </c>
      <c r="BK80" s="58"/>
      <c r="BL80" s="59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</row>
    <row r="81" spans="1:7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66"/>
      <c r="AU81" s="67"/>
      <c r="AV81" s="68"/>
      <c r="AW81" s="68" t="s">
        <v>102</v>
      </c>
      <c r="AX81" s="67"/>
      <c r="AY81" s="67"/>
      <c r="AZ81" s="69"/>
      <c r="BA81" s="67"/>
      <c r="BB81" s="67"/>
      <c r="BC81" s="68"/>
      <c r="BD81" s="68" t="s">
        <v>102</v>
      </c>
      <c r="BE81" s="68"/>
      <c r="BF81" s="66"/>
      <c r="BG81" s="68"/>
      <c r="BH81" s="66"/>
      <c r="BI81" s="68"/>
      <c r="BJ81" s="68" t="s">
        <v>77</v>
      </c>
      <c r="BK81" s="67"/>
      <c r="BL81" s="69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</row>
    <row r="82" spans="1:7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66"/>
      <c r="AU82" s="67"/>
      <c r="AV82" s="68"/>
      <c r="AW82" s="68" t="s">
        <v>102</v>
      </c>
      <c r="AX82" s="67"/>
      <c r="AY82" s="67"/>
      <c r="AZ82" s="69"/>
      <c r="BA82" s="67"/>
      <c r="BB82" s="67"/>
      <c r="BC82" s="68"/>
      <c r="BD82" s="68" t="s">
        <v>106</v>
      </c>
      <c r="BE82" s="68"/>
      <c r="BF82" s="67"/>
      <c r="BG82" s="68"/>
      <c r="BH82" s="66"/>
      <c r="BI82" s="68"/>
      <c r="BJ82" s="68" t="s">
        <v>65</v>
      </c>
      <c r="BK82" s="67"/>
      <c r="BL82" s="69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</row>
    <row r="83" spans="1:7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66"/>
      <c r="AU83" s="67"/>
      <c r="AV83" s="68"/>
      <c r="AW83" s="68" t="s">
        <v>102</v>
      </c>
      <c r="AX83" s="67"/>
      <c r="AY83" s="67"/>
      <c r="AZ83" s="69"/>
      <c r="BA83" s="67"/>
      <c r="BB83" s="67"/>
      <c r="BC83" s="68"/>
      <c r="BD83" s="68" t="s">
        <v>104</v>
      </c>
      <c r="BE83" s="67"/>
      <c r="BF83" s="67"/>
      <c r="BG83" s="68"/>
      <c r="BH83" s="66"/>
      <c r="BI83" s="68"/>
      <c r="BJ83" s="68" t="s">
        <v>66</v>
      </c>
      <c r="BK83" s="67"/>
      <c r="BL83" s="69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</row>
    <row r="84" spans="1:76" ht="4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</row>
    <row r="85" spans="1:7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5" t="s">
        <v>157</v>
      </c>
      <c r="AU85" s="6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</row>
    <row r="86" spans="1:7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5" t="s">
        <v>158</v>
      </c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</row>
    <row r="87" spans="1:7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5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</row>
    <row r="88" spans="1:7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5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</row>
    <row r="89" spans="1:7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13" t="s">
        <v>155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</row>
    <row r="90" spans="1:76" ht="4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</row>
    <row r="91" spans="1:7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57"/>
      <c r="AU91" s="58"/>
      <c r="AV91" s="45"/>
      <c r="AW91" s="45"/>
      <c r="AX91" s="58"/>
      <c r="AY91" s="45" t="s">
        <v>118</v>
      </c>
      <c r="AZ91" s="45"/>
      <c r="BA91" s="45"/>
      <c r="BB91" s="58"/>
      <c r="BC91" s="45"/>
      <c r="BD91" s="59"/>
      <c r="BE91" s="58"/>
      <c r="BF91" s="58"/>
      <c r="BG91" s="45" t="s">
        <v>154</v>
      </c>
      <c r="BH91" s="45"/>
      <c r="BI91" s="59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</row>
    <row r="92" spans="1:7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66"/>
      <c r="AU92" s="67"/>
      <c r="AV92" s="68"/>
      <c r="AW92" s="68"/>
      <c r="AX92" s="67"/>
      <c r="AY92" s="68" t="s">
        <v>203</v>
      </c>
      <c r="AZ92" s="68"/>
      <c r="BA92" s="68"/>
      <c r="BB92" s="67"/>
      <c r="BC92" s="68"/>
      <c r="BD92" s="69"/>
      <c r="BE92" s="67"/>
      <c r="BF92" s="67"/>
      <c r="BG92" s="68" t="s">
        <v>77</v>
      </c>
      <c r="BH92" s="68"/>
      <c r="BI92" s="69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</row>
    <row r="93" spans="1:7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</row>
    <row r="94" spans="1:7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13" t="s">
        <v>156</v>
      </c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</row>
    <row r="95" spans="1:7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5"/>
      <c r="AU95" s="5" t="s">
        <v>159</v>
      </c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</row>
    <row r="96" spans="1:7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5"/>
      <c r="AU96" s="5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</row>
    <row r="97" spans="1:7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</row>
    <row r="98" spans="1:7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13" t="s">
        <v>160</v>
      </c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</row>
    <row r="99" spans="1:76" ht="4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</row>
    <row r="100" spans="1:7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</row>
    <row r="101" spans="1:7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</row>
    <row r="102" spans="1:7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</row>
    <row r="103" spans="1:7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</row>
    <row r="104" spans="1:7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</row>
    <row r="105" spans="1:7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</row>
    <row r="106" spans="1:7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</row>
    <row r="107" spans="1:7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</row>
    <row r="108" spans="1:7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72" t="s">
        <v>161</v>
      </c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</row>
    <row r="109" spans="1:7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13" t="s">
        <v>155</v>
      </c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</row>
    <row r="110" spans="1:76" ht="4.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</row>
    <row r="111" spans="1:7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57"/>
      <c r="AR111" s="58"/>
      <c r="AS111" s="45"/>
      <c r="AT111" s="45"/>
      <c r="AU111" s="58"/>
      <c r="AV111" s="45" t="s">
        <v>118</v>
      </c>
      <c r="AW111" s="45"/>
      <c r="AX111" s="45"/>
      <c r="AY111" s="58"/>
      <c r="AZ111" s="45"/>
      <c r="BA111" s="59"/>
      <c r="BB111" s="58"/>
      <c r="BC111" s="58"/>
      <c r="BD111" s="45" t="s">
        <v>154</v>
      </c>
      <c r="BE111" s="45"/>
      <c r="BF111" s="59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</row>
    <row r="112" spans="1:7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66"/>
      <c r="AR112" s="67"/>
      <c r="AS112" s="68"/>
      <c r="AT112" s="68"/>
      <c r="AU112" s="67"/>
      <c r="AV112" s="68" t="s">
        <v>204</v>
      </c>
      <c r="AW112" s="68"/>
      <c r="AX112" s="68"/>
      <c r="AY112" s="67"/>
      <c r="AZ112" s="68"/>
      <c r="BA112" s="69"/>
      <c r="BB112" s="67"/>
      <c r="BC112" s="67"/>
      <c r="BD112" s="68" t="s">
        <v>77</v>
      </c>
      <c r="BE112" s="68"/>
      <c r="BF112" s="69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</row>
    <row r="113" spans="1:7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</row>
    <row r="114" spans="1:7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72" t="s">
        <v>162</v>
      </c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</row>
    <row r="115" spans="1:7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13" t="s">
        <v>163</v>
      </c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</row>
    <row r="116" spans="1:7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13"/>
      <c r="AR116" s="2" t="s">
        <v>164</v>
      </c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</row>
    <row r="117" spans="1:7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</row>
    <row r="118" spans="1:7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72" t="s">
        <v>165</v>
      </c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</row>
    <row r="119" spans="1:7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13" t="s">
        <v>172</v>
      </c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</row>
    <row r="120" spans="1:76" ht="3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13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</row>
    <row r="121" spans="1:7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57"/>
      <c r="AR121" s="58"/>
      <c r="AS121" s="45"/>
      <c r="AT121" s="45" t="s">
        <v>152</v>
      </c>
      <c r="AU121" s="58"/>
      <c r="AV121" s="58"/>
      <c r="AW121" s="59"/>
      <c r="AX121" s="58"/>
      <c r="AY121" s="58"/>
      <c r="AZ121" s="45"/>
      <c r="BA121" s="45" t="s">
        <v>153</v>
      </c>
      <c r="BB121" s="58"/>
      <c r="BC121" s="58"/>
      <c r="BD121" s="45"/>
      <c r="BE121" s="57"/>
      <c r="BF121" s="45"/>
      <c r="BG121" s="45" t="s">
        <v>154</v>
      </c>
      <c r="BH121" s="58"/>
      <c r="BI121" s="59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</row>
    <row r="122" spans="1:76" ht="13.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66"/>
      <c r="AR122" s="67"/>
      <c r="AS122" s="68"/>
      <c r="AT122" s="68" t="s">
        <v>102</v>
      </c>
      <c r="AU122" s="67"/>
      <c r="AV122" s="67"/>
      <c r="AW122" s="69"/>
      <c r="AX122" s="67"/>
      <c r="AY122" s="67"/>
      <c r="AZ122" s="68"/>
      <c r="BA122" s="68" t="s">
        <v>102</v>
      </c>
      <c r="BB122" s="68"/>
      <c r="BC122" s="66"/>
      <c r="BD122" s="68"/>
      <c r="BE122" s="66"/>
      <c r="BF122" s="68"/>
      <c r="BG122" s="68" t="s">
        <v>77</v>
      </c>
      <c r="BH122" s="67"/>
      <c r="BI122" s="69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</row>
    <row r="123" spans="1:76" ht="13.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66"/>
      <c r="AR123" s="67"/>
      <c r="AS123" s="68"/>
      <c r="AT123" s="68" t="s">
        <v>102</v>
      </c>
      <c r="AU123" s="67"/>
      <c r="AV123" s="67"/>
      <c r="AW123" s="69"/>
      <c r="AX123" s="67"/>
      <c r="AY123" s="67"/>
      <c r="AZ123" s="68"/>
      <c r="BA123" s="68" t="s">
        <v>104</v>
      </c>
      <c r="BB123" s="67"/>
      <c r="BC123" s="67"/>
      <c r="BD123" s="68"/>
      <c r="BE123" s="66"/>
      <c r="BF123" s="68"/>
      <c r="BG123" s="68" t="s">
        <v>66</v>
      </c>
      <c r="BH123" s="67"/>
      <c r="BI123" s="69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</row>
    <row r="124" spans="1:76" ht="13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</row>
    <row r="125" spans="1:76" ht="13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13" t="s">
        <v>173</v>
      </c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</row>
    <row r="126" spans="1:7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13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</row>
    <row r="127" spans="1:7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13" t="s">
        <v>166</v>
      </c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</row>
    <row r="128" spans="1:7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13" t="s">
        <v>167</v>
      </c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</row>
    <row r="129" spans="1:7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</row>
    <row r="130" spans="1:7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13" t="s">
        <v>168</v>
      </c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</row>
    <row r="131" spans="1:7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</row>
    <row r="132" spans="1:7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72" t="s">
        <v>169</v>
      </c>
      <c r="AQ132" s="13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</row>
    <row r="133" spans="1:7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13" t="s">
        <v>174</v>
      </c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</row>
    <row r="134" spans="1:7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13" t="s">
        <v>175</v>
      </c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73" t="s">
        <v>171</v>
      </c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</row>
    <row r="135" spans="1:76" ht="4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13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</row>
    <row r="136" spans="1:7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57"/>
      <c r="AR136" s="58"/>
      <c r="AS136" s="45"/>
      <c r="AT136" s="45" t="s">
        <v>152</v>
      </c>
      <c r="AU136" s="58"/>
      <c r="AV136" s="58"/>
      <c r="AW136" s="59"/>
      <c r="AX136" s="58"/>
      <c r="AY136" s="58"/>
      <c r="AZ136" s="45"/>
      <c r="BA136" s="45" t="s">
        <v>153</v>
      </c>
      <c r="BB136" s="58"/>
      <c r="BC136" s="58"/>
      <c r="BD136" s="45"/>
      <c r="BE136" s="57"/>
      <c r="BF136" s="45"/>
      <c r="BG136" s="45" t="s">
        <v>154</v>
      </c>
      <c r="BH136" s="58"/>
      <c r="BI136" s="59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</row>
    <row r="137" spans="1:7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66"/>
      <c r="AR137" s="67"/>
      <c r="AS137" s="68"/>
      <c r="AT137" s="68" t="s">
        <v>102</v>
      </c>
      <c r="AU137" s="67"/>
      <c r="AV137" s="67"/>
      <c r="AW137" s="69"/>
      <c r="AX137" s="67"/>
      <c r="AY137" s="67"/>
      <c r="AZ137" s="68"/>
      <c r="BA137" s="68" t="s">
        <v>87</v>
      </c>
      <c r="BB137" s="67"/>
      <c r="BC137" s="67"/>
      <c r="BD137" s="68"/>
      <c r="BE137" s="66"/>
      <c r="BF137" s="68"/>
      <c r="BG137" s="68" t="s">
        <v>176</v>
      </c>
      <c r="BH137" s="67"/>
      <c r="BI137" s="69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</row>
    <row r="138" spans="1:7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</row>
    <row r="139" spans="1:7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57"/>
      <c r="AR139" s="58"/>
      <c r="AS139" s="45"/>
      <c r="AT139" s="45"/>
      <c r="AU139" s="58"/>
      <c r="AV139" s="45" t="s">
        <v>118</v>
      </c>
      <c r="AW139" s="45"/>
      <c r="AX139" s="45"/>
      <c r="AY139" s="58"/>
      <c r="AZ139" s="45"/>
      <c r="BA139" s="59"/>
      <c r="BB139" s="58"/>
      <c r="BC139" s="58"/>
      <c r="BD139" s="45" t="s">
        <v>154</v>
      </c>
      <c r="BE139" s="45"/>
      <c r="BF139" s="59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</row>
    <row r="140" spans="1:7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66"/>
      <c r="AR140" s="67"/>
      <c r="AS140" s="68"/>
      <c r="AT140" s="68"/>
      <c r="AU140" s="67"/>
      <c r="AV140" s="68" t="s">
        <v>205</v>
      </c>
      <c r="AW140" s="68"/>
      <c r="AX140" s="68"/>
      <c r="AY140" s="67"/>
      <c r="AZ140" s="68"/>
      <c r="BA140" s="69"/>
      <c r="BB140" s="67"/>
      <c r="BC140" s="67"/>
      <c r="BD140" s="68" t="s">
        <v>177</v>
      </c>
      <c r="BE140" s="68"/>
      <c r="BF140" s="69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</row>
    <row r="141" spans="1:7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66"/>
      <c r="AR141" s="67"/>
      <c r="AS141" s="68"/>
      <c r="AT141" s="68"/>
      <c r="AU141" s="67"/>
      <c r="AV141" s="68" t="s">
        <v>206</v>
      </c>
      <c r="AW141" s="68"/>
      <c r="AX141" s="68"/>
      <c r="AY141" s="67"/>
      <c r="AZ141" s="68"/>
      <c r="BA141" s="69"/>
      <c r="BB141" s="67"/>
      <c r="BC141" s="67"/>
      <c r="BD141" s="68" t="s">
        <v>178</v>
      </c>
      <c r="BE141" s="68"/>
      <c r="BF141" s="69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</row>
    <row r="142" spans="1:7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66"/>
      <c r="AR142" s="67"/>
      <c r="AS142" s="68"/>
      <c r="AT142" s="68"/>
      <c r="AU142" s="67"/>
      <c r="AV142" s="68" t="s">
        <v>206</v>
      </c>
      <c r="AW142" s="68"/>
      <c r="AX142" s="68"/>
      <c r="AY142" s="67"/>
      <c r="AZ142" s="68"/>
      <c r="BA142" s="69"/>
      <c r="BB142" s="67"/>
      <c r="BC142" s="67"/>
      <c r="BD142" s="68" t="s">
        <v>179</v>
      </c>
      <c r="BE142" s="68"/>
      <c r="BF142" s="69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</row>
    <row r="143" spans="1:7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66"/>
      <c r="AR143" s="67"/>
      <c r="AS143" s="68"/>
      <c r="AT143" s="68"/>
      <c r="AU143" s="67"/>
      <c r="AV143" s="68" t="s">
        <v>206</v>
      </c>
      <c r="AW143" s="68"/>
      <c r="AX143" s="68"/>
      <c r="AY143" s="67"/>
      <c r="AZ143" s="68"/>
      <c r="BA143" s="69"/>
      <c r="BB143" s="67"/>
      <c r="BC143" s="67"/>
      <c r="BD143" s="68" t="s">
        <v>180</v>
      </c>
      <c r="BE143" s="68"/>
      <c r="BF143" s="69"/>
      <c r="BG143" s="73" t="s">
        <v>171</v>
      </c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</row>
    <row r="144" spans="1:7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1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31"/>
      <c r="AT144" s="31"/>
      <c r="AU144" s="2"/>
      <c r="AV144" s="2"/>
      <c r="AW144" s="31"/>
      <c r="AX144" s="31"/>
      <c r="AY144" s="2"/>
      <c r="AZ144" s="31"/>
      <c r="BA144" s="2"/>
      <c r="BB144" s="2"/>
      <c r="BC144" s="2"/>
      <c r="BD144" s="31"/>
      <c r="BE144" s="31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</row>
    <row r="145" spans="1:7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72" t="s">
        <v>170</v>
      </c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</row>
    <row r="146" spans="1:7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13" t="s">
        <v>181</v>
      </c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</row>
    <row r="147" spans="1:76" ht="4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13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</row>
    <row r="148" spans="1:7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57"/>
      <c r="AR148" s="58"/>
      <c r="AS148" s="45"/>
      <c r="AT148" s="45" t="s">
        <v>152</v>
      </c>
      <c r="AU148" s="58"/>
      <c r="AV148" s="58"/>
      <c r="AW148" s="59"/>
      <c r="AX148" s="58"/>
      <c r="AY148" s="58"/>
      <c r="AZ148" s="45"/>
      <c r="BA148" s="45" t="s">
        <v>153</v>
      </c>
      <c r="BB148" s="58"/>
      <c r="BC148" s="58"/>
      <c r="BD148" s="45"/>
      <c r="BE148" s="57"/>
      <c r="BF148" s="45"/>
      <c r="BG148" s="45" t="s">
        <v>154</v>
      </c>
      <c r="BH148" s="58"/>
      <c r="BI148" s="59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</row>
    <row r="149" spans="1:7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66"/>
      <c r="AR149" s="67"/>
      <c r="AS149" s="68"/>
      <c r="AT149" s="68" t="s">
        <v>102</v>
      </c>
      <c r="AU149" s="67"/>
      <c r="AV149" s="67"/>
      <c r="AW149" s="69"/>
      <c r="AX149" s="67"/>
      <c r="AY149" s="67"/>
      <c r="AZ149" s="68"/>
      <c r="BA149" s="68" t="s">
        <v>92</v>
      </c>
      <c r="BB149" s="67"/>
      <c r="BC149" s="67"/>
      <c r="BD149" s="68"/>
      <c r="BE149" s="66"/>
      <c r="BF149" s="68"/>
      <c r="BG149" s="68" t="s">
        <v>18</v>
      </c>
      <c r="BH149" s="67"/>
      <c r="BI149" s="69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</row>
    <row r="150" spans="1:7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13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</row>
    <row r="151" spans="1:7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</row>
    <row r="152" spans="1:7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57"/>
      <c r="AR152" s="58"/>
      <c r="AS152" s="45"/>
      <c r="AT152" s="45"/>
      <c r="AU152" s="58"/>
      <c r="AV152" s="45" t="s">
        <v>118</v>
      </c>
      <c r="AW152" s="45"/>
      <c r="AX152" s="45"/>
      <c r="AY152" s="58"/>
      <c r="AZ152" s="45"/>
      <c r="BA152" s="59"/>
      <c r="BB152" s="58"/>
      <c r="BC152" s="58"/>
      <c r="BD152" s="45" t="s">
        <v>154</v>
      </c>
      <c r="BE152" s="45"/>
      <c r="BF152" s="59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</row>
    <row r="153" spans="1:7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66"/>
      <c r="AR153" s="67"/>
      <c r="AS153" s="68"/>
      <c r="AT153" s="68"/>
      <c r="AU153" s="67"/>
      <c r="AV153" s="68" t="s">
        <v>207</v>
      </c>
      <c r="AW153" s="68"/>
      <c r="AX153" s="68"/>
      <c r="AY153" s="67"/>
      <c r="AZ153" s="68"/>
      <c r="BA153" s="69"/>
      <c r="BB153" s="67"/>
      <c r="BC153" s="67"/>
      <c r="BD153" s="68" t="s">
        <v>182</v>
      </c>
      <c r="BE153" s="68"/>
      <c r="BF153" s="69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 spans="1:7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 spans="1:7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72" t="s">
        <v>187</v>
      </c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</row>
    <row r="156" spans="1:7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75" t="s">
        <v>197</v>
      </c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</row>
    <row r="157" spans="1:7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6" t="s">
        <v>194</v>
      </c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</row>
    <row r="158" spans="1:7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6" t="s">
        <v>195</v>
      </c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</row>
    <row r="159" spans="1:7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6" t="s">
        <v>196</v>
      </c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</row>
    <row r="160" spans="1:76" ht="5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</row>
    <row r="161" spans="1:7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57"/>
      <c r="AR161" s="58"/>
      <c r="AS161" s="45"/>
      <c r="AT161" s="45"/>
      <c r="AU161" s="58"/>
      <c r="AV161" s="45" t="s">
        <v>118</v>
      </c>
      <c r="AW161" s="45"/>
      <c r="AX161" s="45"/>
      <c r="AY161" s="58"/>
      <c r="AZ161" s="45"/>
      <c r="BA161" s="59"/>
      <c r="BB161" s="58"/>
      <c r="BC161" s="58"/>
      <c r="BD161" s="45" t="s">
        <v>154</v>
      </c>
      <c r="BE161" s="45"/>
      <c r="BF161" s="59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</row>
    <row r="162" spans="1:7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66"/>
      <c r="AR162" s="67"/>
      <c r="AS162" s="68"/>
      <c r="AT162" s="68"/>
      <c r="AU162" s="67"/>
      <c r="AV162" s="76" t="s">
        <v>191</v>
      </c>
      <c r="AW162" s="76"/>
      <c r="AX162" s="76"/>
      <c r="AY162" s="77"/>
      <c r="AZ162" s="76"/>
      <c r="BA162" s="78"/>
      <c r="BB162" s="77"/>
      <c r="BC162" s="77"/>
      <c r="BD162" s="76" t="s">
        <v>188</v>
      </c>
      <c r="BE162" s="68"/>
      <c r="BF162" s="69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</row>
    <row r="163" spans="1:7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66"/>
      <c r="AR163" s="67"/>
      <c r="AS163" s="68"/>
      <c r="AT163" s="68"/>
      <c r="AU163" s="67"/>
      <c r="AV163" s="76" t="s">
        <v>192</v>
      </c>
      <c r="AW163" s="76"/>
      <c r="AX163" s="76"/>
      <c r="AY163" s="77"/>
      <c r="AZ163" s="76"/>
      <c r="BA163" s="78"/>
      <c r="BB163" s="77"/>
      <c r="BC163" s="77"/>
      <c r="BD163" s="76" t="s">
        <v>189</v>
      </c>
      <c r="BE163" s="68"/>
      <c r="BF163" s="69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</row>
    <row r="164" spans="1:7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66"/>
      <c r="AR164" s="67"/>
      <c r="AS164" s="68"/>
      <c r="AT164" s="68"/>
      <c r="AU164" s="67"/>
      <c r="AV164" s="76" t="s">
        <v>193</v>
      </c>
      <c r="AW164" s="76"/>
      <c r="AX164" s="76"/>
      <c r="AY164" s="77"/>
      <c r="AZ164" s="76"/>
      <c r="BA164" s="78"/>
      <c r="BB164" s="77"/>
      <c r="BC164" s="77"/>
      <c r="BD164" s="76" t="s">
        <v>190</v>
      </c>
      <c r="BE164" s="68"/>
      <c r="BF164" s="69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</row>
    <row r="165" spans="1:7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</row>
    <row r="166" spans="1:7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75" t="s">
        <v>209</v>
      </c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</row>
    <row r="167" spans="1:76" ht="4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75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</row>
    <row r="168" spans="1:7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57"/>
      <c r="AR168" s="58"/>
      <c r="AS168" s="45"/>
      <c r="AT168" s="45"/>
      <c r="AU168" s="58"/>
      <c r="AV168" s="45"/>
      <c r="AW168" s="45"/>
      <c r="AX168" s="45" t="s">
        <v>118</v>
      </c>
      <c r="AY168" s="58"/>
      <c r="AZ168" s="45"/>
      <c r="BA168" s="45"/>
      <c r="BB168" s="45"/>
      <c r="BC168" s="45"/>
      <c r="BD168" s="45"/>
      <c r="BE168" s="45"/>
      <c r="BF168" s="59"/>
      <c r="BG168" s="58"/>
      <c r="BH168" s="58"/>
      <c r="BI168" s="45"/>
      <c r="BJ168" s="45" t="s">
        <v>154</v>
      </c>
      <c r="BK168" s="58"/>
      <c r="BL168" s="58"/>
      <c r="BM168" s="59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</row>
    <row r="169" spans="1:7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66"/>
      <c r="AR169" s="67"/>
      <c r="AS169" s="68"/>
      <c r="AT169" s="68"/>
      <c r="AU169" s="67"/>
      <c r="AV169" s="68"/>
      <c r="AW169" s="68"/>
      <c r="AX169" s="68" t="s">
        <v>210</v>
      </c>
      <c r="AY169" s="67"/>
      <c r="AZ169" s="68"/>
      <c r="BA169" s="68"/>
      <c r="BB169" s="68"/>
      <c r="BC169" s="68"/>
      <c r="BD169" s="68"/>
      <c r="BE169" s="68"/>
      <c r="BF169" s="69"/>
      <c r="BG169" s="67"/>
      <c r="BH169" s="67"/>
      <c r="BI169" s="68"/>
      <c r="BJ169" s="68" t="s">
        <v>208</v>
      </c>
      <c r="BK169" s="67"/>
      <c r="BL169" s="67"/>
      <c r="BM169" s="69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</row>
    <row r="170" spans="1:7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</row>
    <row r="171" spans="1:7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</row>
    <row r="172" spans="1:7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</row>
    <row r="173" spans="1:7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70" t="s">
        <v>183</v>
      </c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</row>
    <row r="174" spans="1:76" ht="3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13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</row>
    <row r="175" spans="1:7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57"/>
      <c r="AR175" s="58"/>
      <c r="AS175" s="45"/>
      <c r="AT175" s="45" t="s">
        <v>152</v>
      </c>
      <c r="AU175" s="58"/>
      <c r="AV175" s="58"/>
      <c r="AW175" s="59"/>
      <c r="AX175" s="58"/>
      <c r="AY175" s="58"/>
      <c r="AZ175" s="45" t="s">
        <v>153</v>
      </c>
      <c r="BA175" s="45"/>
      <c r="BB175" s="59"/>
      <c r="BC175" s="58"/>
      <c r="BD175" s="45" t="s">
        <v>154</v>
      </c>
      <c r="BE175" s="59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</row>
    <row r="176" spans="1:7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66"/>
      <c r="AR176" s="67"/>
      <c r="AS176" s="68"/>
      <c r="AT176" s="68" t="s">
        <v>89</v>
      </c>
      <c r="AU176" s="67"/>
      <c r="AV176" s="67"/>
      <c r="AW176" s="69"/>
      <c r="AX176" s="67"/>
      <c r="AY176" s="67"/>
      <c r="AZ176" s="68" t="s">
        <v>122</v>
      </c>
      <c r="BA176" s="68"/>
      <c r="BB176" s="69"/>
      <c r="BC176" s="67"/>
      <c r="BD176" s="68" t="s">
        <v>121</v>
      </c>
      <c r="BE176" s="69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</row>
    <row r="177" spans="1:76" ht="3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31"/>
      <c r="AT177" s="31"/>
      <c r="AU177" s="2"/>
      <c r="AV177" s="2"/>
      <c r="AW177" s="2"/>
      <c r="AX177" s="2"/>
      <c r="AY177" s="2"/>
      <c r="AZ177" s="31"/>
      <c r="BA177" s="31"/>
      <c r="BB177" s="2"/>
      <c r="BC177" s="2"/>
      <c r="BD177" s="31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</row>
    <row r="178" spans="1:7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 t="s">
        <v>184</v>
      </c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</row>
    <row r="179" spans="1:7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</row>
    <row r="180" spans="1:7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57"/>
      <c r="AR180" s="58"/>
      <c r="AS180" s="45"/>
      <c r="AT180" s="45"/>
      <c r="AU180" s="58"/>
      <c r="AV180" s="45" t="s">
        <v>118</v>
      </c>
      <c r="AW180" s="45"/>
      <c r="AX180" s="45"/>
      <c r="AY180" s="58"/>
      <c r="AZ180" s="45"/>
      <c r="BA180" s="59"/>
      <c r="BB180" s="58"/>
      <c r="BC180" s="58"/>
      <c r="BD180" s="45" t="s">
        <v>154</v>
      </c>
      <c r="BE180" s="45"/>
      <c r="BF180" s="59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</row>
    <row r="181" spans="1:7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66"/>
      <c r="AR181" s="67"/>
      <c r="AS181" s="68"/>
      <c r="AT181" s="68"/>
      <c r="AU181" s="67"/>
      <c r="AV181" s="68" t="s">
        <v>219</v>
      </c>
      <c r="AW181" s="68"/>
      <c r="AX181" s="68"/>
      <c r="AY181" s="67"/>
      <c r="AZ181" s="68"/>
      <c r="BA181" s="69"/>
      <c r="BB181" s="67"/>
      <c r="BC181" s="67"/>
      <c r="BD181" s="68" t="s">
        <v>51</v>
      </c>
      <c r="BE181" s="68"/>
      <c r="BF181" s="69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</row>
    <row r="182" spans="1:7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66"/>
      <c r="AR182" s="67"/>
      <c r="AS182" s="68"/>
      <c r="AT182" s="68"/>
      <c r="AU182" s="67"/>
      <c r="AV182" s="68" t="s">
        <v>216</v>
      </c>
      <c r="AW182" s="68"/>
      <c r="AX182" s="68"/>
      <c r="AY182" s="67"/>
      <c r="AZ182" s="68"/>
      <c r="BA182" s="69"/>
      <c r="BB182" s="67"/>
      <c r="BC182" s="67"/>
      <c r="BD182" s="68" t="s">
        <v>52</v>
      </c>
      <c r="BE182" s="68"/>
      <c r="BF182" s="69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</row>
    <row r="183" spans="1:7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66"/>
      <c r="AR183" s="67"/>
      <c r="AS183" s="68"/>
      <c r="AT183" s="68"/>
      <c r="AU183" s="67"/>
      <c r="AV183" s="68" t="s">
        <v>221</v>
      </c>
      <c r="AW183" s="68"/>
      <c r="AX183" s="68"/>
      <c r="AY183" s="67"/>
      <c r="AZ183" s="68"/>
      <c r="BA183" s="69"/>
      <c r="BB183" s="67"/>
      <c r="BC183" s="67"/>
      <c r="BD183" s="68" t="s">
        <v>72</v>
      </c>
      <c r="BE183" s="68"/>
      <c r="BF183" s="69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</row>
    <row r="184" spans="1:7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66"/>
      <c r="AR184" s="67"/>
      <c r="AS184" s="68"/>
      <c r="AT184" s="68"/>
      <c r="AU184" s="67"/>
      <c r="AV184" s="68" t="s">
        <v>220</v>
      </c>
      <c r="AW184" s="68"/>
      <c r="AX184" s="68"/>
      <c r="AY184" s="67"/>
      <c r="AZ184" s="68"/>
      <c r="BA184" s="69"/>
      <c r="BB184" s="67"/>
      <c r="BC184" s="67"/>
      <c r="BD184" s="68" t="s">
        <v>53</v>
      </c>
      <c r="BE184" s="68"/>
      <c r="BF184" s="69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</row>
    <row r="185" spans="1:7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66"/>
      <c r="AR185" s="67"/>
      <c r="AS185" s="68"/>
      <c r="AT185" s="68"/>
      <c r="AU185" s="67"/>
      <c r="AV185" s="68" t="s">
        <v>215</v>
      </c>
      <c r="AW185" s="68"/>
      <c r="AX185" s="68"/>
      <c r="AY185" s="67"/>
      <c r="AZ185" s="68"/>
      <c r="BA185" s="69"/>
      <c r="BB185" s="67"/>
      <c r="BC185" s="67"/>
      <c r="BD185" s="68" t="s">
        <v>54</v>
      </c>
      <c r="BE185" s="68"/>
      <c r="BF185" s="69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</row>
    <row r="186" spans="1:7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66"/>
      <c r="AR186" s="67"/>
      <c r="AS186" s="68"/>
      <c r="AT186" s="68"/>
      <c r="AU186" s="67"/>
      <c r="AV186" s="68" t="s">
        <v>217</v>
      </c>
      <c r="AW186" s="68"/>
      <c r="AX186" s="68"/>
      <c r="AY186" s="67"/>
      <c r="AZ186" s="68"/>
      <c r="BA186" s="69"/>
      <c r="BB186" s="67"/>
      <c r="BC186" s="67"/>
      <c r="BD186" s="68" t="s">
        <v>55</v>
      </c>
      <c r="BE186" s="68"/>
      <c r="BF186" s="69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</row>
    <row r="187" spans="1:7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</row>
    <row r="188" spans="1:7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13" t="s">
        <v>211</v>
      </c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</row>
    <row r="189" spans="1:7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13"/>
      <c r="AR189" s="5" t="s">
        <v>185</v>
      </c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</row>
    <row r="190" spans="1:7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</row>
    <row r="191" spans="1:7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75" t="s">
        <v>213</v>
      </c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79" t="s">
        <v>223</v>
      </c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</row>
    <row r="192" spans="1:7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75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</row>
    <row r="193" spans="1:7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6" t="s">
        <v>214</v>
      </c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</row>
    <row r="194" spans="1:76" ht="5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</row>
    <row r="195" spans="1:7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57"/>
      <c r="AR195" s="58"/>
      <c r="AS195" s="45"/>
      <c r="AT195" s="45"/>
      <c r="AU195" s="58"/>
      <c r="AV195" s="45"/>
      <c r="AW195" s="45"/>
      <c r="AX195" s="45" t="s">
        <v>118</v>
      </c>
      <c r="AY195" s="58"/>
      <c r="AZ195" s="45"/>
      <c r="BA195" s="45"/>
      <c r="BB195" s="45"/>
      <c r="BC195" s="45"/>
      <c r="BD195" s="45"/>
      <c r="BE195" s="45"/>
      <c r="BF195" s="59"/>
      <c r="BG195" s="58"/>
      <c r="BH195" s="58"/>
      <c r="BI195" s="45"/>
      <c r="BJ195" s="45" t="s">
        <v>154</v>
      </c>
      <c r="BK195" s="58"/>
      <c r="BL195" s="58"/>
      <c r="BM195" s="59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</row>
    <row r="196" spans="1:7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66"/>
      <c r="AR196" s="67"/>
      <c r="AS196" s="68"/>
      <c r="AT196" s="68"/>
      <c r="AU196" s="67"/>
      <c r="AV196" s="68"/>
      <c r="AW196" s="68"/>
      <c r="AX196" s="68" t="s">
        <v>218</v>
      </c>
      <c r="AY196" s="67"/>
      <c r="AZ196" s="68"/>
      <c r="BA196" s="68"/>
      <c r="BB196" s="68"/>
      <c r="BC196" s="68"/>
      <c r="BD196" s="68"/>
      <c r="BE196" s="68"/>
      <c r="BF196" s="69"/>
      <c r="BG196" s="67"/>
      <c r="BH196" s="67"/>
      <c r="BI196" s="68"/>
      <c r="BJ196" s="68" t="s">
        <v>212</v>
      </c>
      <c r="BK196" s="67"/>
      <c r="BL196" s="67"/>
      <c r="BM196" s="69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</row>
    <row r="197" spans="1:7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</row>
    <row r="198" spans="1:7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</row>
    <row r="199" spans="1:7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</row>
    <row r="200" spans="1:7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</row>
    <row r="201" spans="1:7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</row>
    <row r="202" spans="1:7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</row>
    <row r="203" spans="1:7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</row>
    <row r="204" spans="1:7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</row>
    <row r="205" spans="1:76" ht="16.5" customHeight="1" x14ac:dyDescent="0.25">
      <c r="A205" s="2"/>
      <c r="B205" s="2"/>
      <c r="C205" s="2"/>
      <c r="D205" s="2"/>
      <c r="E205" s="64">
        <v>3</v>
      </c>
      <c r="F205" s="74" t="s">
        <v>186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</row>
    <row r="206" spans="1:76" ht="8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</row>
    <row r="207" spans="1:7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70" t="s">
        <v>224</v>
      </c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</row>
    <row r="208" spans="1:7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13" t="s">
        <v>225</v>
      </c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</row>
    <row r="209" spans="1:7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13" t="s">
        <v>226</v>
      </c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</row>
    <row r="210" spans="1:76" ht="4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</row>
    <row r="211" spans="1:7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57"/>
      <c r="AR211" s="58"/>
      <c r="AS211" s="45"/>
      <c r="AT211" s="45"/>
      <c r="AU211" s="58"/>
      <c r="AV211" s="45" t="s">
        <v>118</v>
      </c>
      <c r="AW211" s="45"/>
      <c r="AX211" s="45"/>
      <c r="AY211" s="58"/>
      <c r="AZ211" s="45"/>
      <c r="BA211" s="59"/>
      <c r="BB211" s="58"/>
      <c r="BC211" s="58"/>
      <c r="BD211" s="45" t="s">
        <v>154</v>
      </c>
      <c r="BE211" s="45"/>
      <c r="BF211" s="59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</row>
    <row r="212" spans="1:7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66"/>
      <c r="AR212" s="67"/>
      <c r="AS212" s="68"/>
      <c r="AT212" s="68"/>
      <c r="AU212" s="67"/>
      <c r="AV212" s="68" t="s">
        <v>227</v>
      </c>
      <c r="AW212" s="68"/>
      <c r="AX212" s="68"/>
      <c r="AY212" s="67"/>
      <c r="AZ212" s="68"/>
      <c r="BA212" s="69"/>
      <c r="BB212" s="67"/>
      <c r="BC212" s="67"/>
      <c r="BD212" s="68" t="s">
        <v>228</v>
      </c>
      <c r="BE212" s="68"/>
      <c r="BF212" s="69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</row>
    <row r="213" spans="1:7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66"/>
      <c r="AR213" s="67"/>
      <c r="AS213" s="68"/>
      <c r="AT213" s="68"/>
      <c r="AU213" s="67"/>
      <c r="AV213" s="68" t="s">
        <v>255</v>
      </c>
      <c r="AW213" s="68"/>
      <c r="AX213" s="68"/>
      <c r="AY213" s="67"/>
      <c r="AZ213" s="68"/>
      <c r="BA213" s="69"/>
      <c r="BB213" s="67"/>
      <c r="BC213" s="67"/>
      <c r="BD213" s="68" t="s">
        <v>229</v>
      </c>
      <c r="BE213" s="68"/>
      <c r="BF213" s="69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</row>
    <row r="214" spans="1:7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66"/>
      <c r="AR214" s="67"/>
      <c r="AS214" s="68"/>
      <c r="AT214" s="68"/>
      <c r="AU214" s="67"/>
      <c r="AV214" s="68" t="s">
        <v>256</v>
      </c>
      <c r="AW214" s="68"/>
      <c r="AX214" s="68"/>
      <c r="AY214" s="67"/>
      <c r="AZ214" s="68"/>
      <c r="BA214" s="69"/>
      <c r="BB214" s="67"/>
      <c r="BC214" s="67"/>
      <c r="BD214" s="68" t="s">
        <v>230</v>
      </c>
      <c r="BE214" s="68"/>
      <c r="BF214" s="69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</row>
    <row r="215" spans="1:7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</row>
    <row r="216" spans="1:7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 t="s">
        <v>254</v>
      </c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</row>
    <row r="217" spans="1:76" ht="4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</row>
    <row r="218" spans="1:7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57"/>
      <c r="AR218" s="58"/>
      <c r="AS218" s="45"/>
      <c r="AT218" s="45"/>
      <c r="AU218" s="45" t="s">
        <v>118</v>
      </c>
      <c r="AV218" s="45"/>
      <c r="AW218" s="45"/>
      <c r="AX218" s="45"/>
      <c r="AY218" s="58"/>
      <c r="AZ218" s="93"/>
      <c r="BA218" s="58"/>
      <c r="BB218" s="58"/>
      <c r="BC218" s="45"/>
      <c r="BD218" s="45"/>
      <c r="BE218" s="45" t="s">
        <v>154</v>
      </c>
      <c r="BF218" s="58"/>
      <c r="BG218" s="58"/>
      <c r="BH218" s="58"/>
      <c r="BI218" s="59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</row>
    <row r="219" spans="1:7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66"/>
      <c r="AR219" s="67"/>
      <c r="AS219" s="68"/>
      <c r="AT219" s="68"/>
      <c r="AU219" s="68" t="s">
        <v>257</v>
      </c>
      <c r="AV219" s="68"/>
      <c r="AW219" s="68"/>
      <c r="AX219" s="68"/>
      <c r="AY219" s="67"/>
      <c r="AZ219" s="94"/>
      <c r="BA219" s="67"/>
      <c r="BB219" s="67"/>
      <c r="BC219" s="68"/>
      <c r="BD219" s="68"/>
      <c r="BE219" s="68" t="s">
        <v>258</v>
      </c>
      <c r="BF219" s="67"/>
      <c r="BG219" s="67"/>
      <c r="BH219" s="67"/>
      <c r="BI219" s="69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</row>
    <row r="220" spans="1:7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</row>
    <row r="221" spans="1:7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</row>
    <row r="222" spans="1:7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70" t="s">
        <v>231</v>
      </c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</row>
    <row r="223" spans="1:7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75" t="s">
        <v>232</v>
      </c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</row>
    <row r="224" spans="1:7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 t="s">
        <v>233</v>
      </c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</row>
    <row r="225" spans="1:7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</row>
    <row r="226" spans="1:7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75" t="s">
        <v>234</v>
      </c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</row>
    <row r="227" spans="1:76" ht="3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</row>
    <row r="228" spans="1:7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57"/>
      <c r="AR228" s="58"/>
      <c r="AS228" s="45"/>
      <c r="AT228" s="45" t="s">
        <v>152</v>
      </c>
      <c r="AU228" s="58"/>
      <c r="AV228" s="58"/>
      <c r="AW228" s="59"/>
      <c r="AX228" s="58"/>
      <c r="AY228" s="58"/>
      <c r="AZ228" s="45" t="s">
        <v>153</v>
      </c>
      <c r="BA228" s="45"/>
      <c r="BB228" s="59"/>
      <c r="BC228" s="58"/>
      <c r="BD228" s="45" t="s">
        <v>154</v>
      </c>
      <c r="BE228" s="59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</row>
    <row r="229" spans="1:7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66"/>
      <c r="AR229" s="67"/>
      <c r="AS229" s="68"/>
      <c r="AT229" s="68" t="s">
        <v>107</v>
      </c>
      <c r="AU229" s="67"/>
      <c r="AV229" s="67"/>
      <c r="AW229" s="69"/>
      <c r="AX229" s="67"/>
      <c r="AY229" s="67"/>
      <c r="AZ229" s="68" t="s">
        <v>122</v>
      </c>
      <c r="BA229" s="68"/>
      <c r="BB229" s="69"/>
      <c r="BC229" s="67"/>
      <c r="BD229" s="68" t="s">
        <v>121</v>
      </c>
      <c r="BE229" s="69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</row>
    <row r="230" spans="1:76" ht="3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31"/>
      <c r="AT230" s="31"/>
      <c r="AU230" s="2"/>
      <c r="AV230" s="2"/>
      <c r="AW230" s="2"/>
      <c r="AX230" s="2"/>
      <c r="AY230" s="2"/>
      <c r="AZ230" s="31"/>
      <c r="BA230" s="31"/>
      <c r="BB230" s="2"/>
      <c r="BC230" s="2"/>
      <c r="BD230" s="31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</row>
    <row r="231" spans="1:7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 t="s">
        <v>262</v>
      </c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</row>
    <row r="232" spans="1:7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</row>
    <row r="233" spans="1:7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75" t="s">
        <v>251</v>
      </c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</row>
    <row r="234" spans="1:7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75"/>
      <c r="AR234" s="72" t="s">
        <v>252</v>
      </c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</row>
    <row r="235" spans="1:7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75"/>
      <c r="AR235" s="2"/>
      <c r="AS235" s="13" t="s">
        <v>253</v>
      </c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</row>
    <row r="236" spans="1:7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75"/>
      <c r="AR236" s="2"/>
      <c r="AS236" s="2"/>
      <c r="AT236" s="2" t="s">
        <v>235</v>
      </c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</row>
    <row r="237" spans="1:7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75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</row>
    <row r="238" spans="1:7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3"/>
      <c r="AS238" s="13" t="s">
        <v>236</v>
      </c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</row>
    <row r="239" spans="1:7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3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</row>
    <row r="240" spans="1:7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3"/>
      <c r="AS240" s="13" t="s">
        <v>259</v>
      </c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</row>
    <row r="241" spans="1:7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3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</row>
    <row r="242" spans="1:7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72" t="s">
        <v>260</v>
      </c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</row>
    <row r="243" spans="1:7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13" t="s">
        <v>261</v>
      </c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</row>
    <row r="244" spans="1:7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13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</row>
    <row r="245" spans="1:7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6" t="s">
        <v>289</v>
      </c>
      <c r="AS245" s="13"/>
      <c r="AT245" s="2"/>
      <c r="AU245" s="13" t="s">
        <v>263</v>
      </c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</row>
    <row r="246" spans="1:7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13"/>
      <c r="AT246" s="2"/>
      <c r="AU246" s="13" t="s">
        <v>264</v>
      </c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</row>
    <row r="247" spans="1:7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13"/>
      <c r="AT247" s="2"/>
      <c r="AU247" s="13" t="s">
        <v>265</v>
      </c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</row>
    <row r="248" spans="1:7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</row>
    <row r="249" spans="1:7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75" t="s">
        <v>237</v>
      </c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</row>
    <row r="250" spans="1:7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13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75"/>
      <c r="AR250" s="2" t="s">
        <v>238</v>
      </c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</row>
    <row r="251" spans="1:76" ht="3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13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75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</row>
    <row r="252" spans="1:7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13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83" t="s">
        <v>245</v>
      </c>
      <c r="AS252" s="84"/>
      <c r="AT252" s="58"/>
      <c r="AU252" s="59"/>
      <c r="AV252" s="58" t="s">
        <v>129</v>
      </c>
      <c r="AW252" s="58"/>
      <c r="AX252" s="58"/>
      <c r="AY252" s="58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BJ252" s="58"/>
      <c r="BK252" s="59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</row>
    <row r="253" spans="1:7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13"/>
      <c r="M253" s="2"/>
      <c r="N253" s="2"/>
      <c r="O253" s="2"/>
      <c r="P253" s="2"/>
      <c r="Q253" s="2"/>
      <c r="R253" s="2"/>
      <c r="S253" s="2"/>
      <c r="T253" s="2"/>
      <c r="U253" s="2"/>
      <c r="V253" s="13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85" t="s">
        <v>239</v>
      </c>
      <c r="AS253" s="86"/>
      <c r="AT253" s="87"/>
      <c r="AU253" s="82"/>
      <c r="AV253" s="55" t="s">
        <v>246</v>
      </c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55"/>
      <c r="BJ253" s="55"/>
      <c r="BK253" s="56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</row>
    <row r="254" spans="1:7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13"/>
      <c r="M254" s="2"/>
      <c r="N254" s="2"/>
      <c r="O254" s="2"/>
      <c r="P254" s="2"/>
      <c r="Q254" s="2"/>
      <c r="R254" s="2"/>
      <c r="S254" s="2"/>
      <c r="T254" s="2"/>
      <c r="U254" s="2"/>
      <c r="V254" s="13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85" t="s">
        <v>240</v>
      </c>
      <c r="AS254" s="86"/>
      <c r="AT254" s="87"/>
      <c r="AU254" s="82"/>
      <c r="AV254" s="55" t="s">
        <v>250</v>
      </c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  <c r="BG254" s="55"/>
      <c r="BH254" s="55"/>
      <c r="BI254" s="55"/>
      <c r="BJ254" s="55"/>
      <c r="BK254" s="56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</row>
    <row r="255" spans="1:7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13"/>
      <c r="M255" s="2"/>
      <c r="N255" s="2"/>
      <c r="O255" s="2"/>
      <c r="P255" s="2"/>
      <c r="Q255" s="2"/>
      <c r="R255" s="2"/>
      <c r="S255" s="2"/>
      <c r="T255" s="2"/>
      <c r="U255" s="2"/>
      <c r="V255" s="13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80" t="s">
        <v>241</v>
      </c>
      <c r="AS255" s="87"/>
      <c r="AT255" s="81"/>
      <c r="AU255" s="82"/>
      <c r="AV255" s="55" t="s">
        <v>247</v>
      </c>
      <c r="AW255" s="55"/>
      <c r="AX255" s="55"/>
      <c r="AY255" s="55"/>
      <c r="AZ255" s="55"/>
      <c r="BA255" s="55"/>
      <c r="BB255" s="55"/>
      <c r="BC255" s="55"/>
      <c r="BD255" s="55"/>
      <c r="BE255" s="55"/>
      <c r="BF255" s="55"/>
      <c r="BG255" s="55"/>
      <c r="BH255" s="55"/>
      <c r="BI255" s="55"/>
      <c r="BJ255" s="55"/>
      <c r="BK255" s="56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</row>
    <row r="256" spans="1:7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13"/>
      <c r="M256" s="2"/>
      <c r="N256" s="2"/>
      <c r="O256" s="2"/>
      <c r="P256" s="2"/>
      <c r="Q256" s="2"/>
      <c r="R256" s="2"/>
      <c r="S256" s="2"/>
      <c r="T256" s="2"/>
      <c r="U256" s="2"/>
      <c r="V256" s="13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80" t="s">
        <v>242</v>
      </c>
      <c r="AS256" s="87"/>
      <c r="AT256" s="81"/>
      <c r="AU256" s="82"/>
      <c r="AV256" s="55" t="s">
        <v>288</v>
      </c>
      <c r="AW256" s="55"/>
      <c r="AX256" s="55"/>
      <c r="AY256" s="55"/>
      <c r="AZ256" s="55"/>
      <c r="BA256" s="55"/>
      <c r="BB256" s="55"/>
      <c r="BC256" s="55"/>
      <c r="BD256" s="55"/>
      <c r="BE256" s="55"/>
      <c r="BF256" s="55"/>
      <c r="BG256" s="55"/>
      <c r="BH256" s="55"/>
      <c r="BI256" s="55"/>
      <c r="BJ256" s="55"/>
      <c r="BK256" s="56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</row>
    <row r="257" spans="1:7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13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88" t="s">
        <v>243</v>
      </c>
      <c r="AS257" s="87"/>
      <c r="AT257" s="81"/>
      <c r="AU257" s="82"/>
      <c r="AV257" s="55" t="s">
        <v>248</v>
      </c>
      <c r="AW257" s="55"/>
      <c r="AX257" s="55"/>
      <c r="AY257" s="55"/>
      <c r="AZ257" s="55"/>
      <c r="BA257" s="55"/>
      <c r="BB257" s="55"/>
      <c r="BC257" s="55"/>
      <c r="BD257" s="55"/>
      <c r="BE257" s="55"/>
      <c r="BF257" s="55"/>
      <c r="BG257" s="55"/>
      <c r="BH257" s="55"/>
      <c r="BI257" s="55"/>
      <c r="BJ257" s="55"/>
      <c r="BK257" s="56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</row>
    <row r="258" spans="1:7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89" t="s">
        <v>244</v>
      </c>
      <c r="AS258" s="90"/>
      <c r="AT258" s="91"/>
      <c r="AU258" s="92"/>
      <c r="AV258" s="67" t="s">
        <v>249</v>
      </c>
      <c r="AW258" s="67"/>
      <c r="AX258" s="67"/>
      <c r="AY258" s="67"/>
      <c r="AZ258" s="67"/>
      <c r="BA258" s="67"/>
      <c r="BB258" s="67"/>
      <c r="BC258" s="67"/>
      <c r="BD258" s="67"/>
      <c r="BE258" s="67"/>
      <c r="BF258" s="67"/>
      <c r="BG258" s="67"/>
      <c r="BH258" s="67"/>
      <c r="BI258" s="67"/>
      <c r="BJ258" s="67"/>
      <c r="BK258" s="69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</row>
    <row r="259" spans="1:7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</row>
    <row r="260" spans="1:7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</row>
    <row r="261" spans="1:7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</row>
    <row r="262" spans="1:76" ht="16.5" customHeight="1" x14ac:dyDescent="0.25">
      <c r="A262" s="2"/>
      <c r="B262" s="2"/>
      <c r="C262" s="2"/>
      <c r="D262" s="2"/>
      <c r="E262" s="64">
        <v>4</v>
      </c>
      <c r="F262" s="74" t="s">
        <v>266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</row>
    <row r="263" spans="1:7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</row>
    <row r="264" spans="1:7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70" t="s">
        <v>267</v>
      </c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</row>
    <row r="265" spans="1:7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13" t="s">
        <v>290</v>
      </c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</row>
    <row r="266" spans="1:7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13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</row>
    <row r="267" spans="1:7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75" t="s">
        <v>291</v>
      </c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</row>
    <row r="268" spans="1:7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13"/>
      <c r="AR268" s="79" t="s">
        <v>309</v>
      </c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</row>
    <row r="269" spans="1:7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83" t="s">
        <v>245</v>
      </c>
      <c r="AR269" s="84"/>
      <c r="AS269" s="58"/>
      <c r="AT269" s="59"/>
      <c r="AU269" s="57"/>
      <c r="AV269" s="45" t="s">
        <v>297</v>
      </c>
      <c r="AW269" s="59"/>
      <c r="AX269" s="57"/>
      <c r="AY269" s="45" t="s">
        <v>298</v>
      </c>
      <c r="AZ269" s="59"/>
      <c r="BA269" s="57"/>
      <c r="BB269" s="58"/>
      <c r="BC269" s="45" t="s">
        <v>109</v>
      </c>
      <c r="BD269" s="58"/>
      <c r="BE269" s="59"/>
      <c r="BF269" s="58"/>
      <c r="BG269" s="58"/>
      <c r="BH269" s="45" t="s">
        <v>108</v>
      </c>
      <c r="BI269" s="58"/>
      <c r="BJ269" s="59"/>
      <c r="BK269" s="58"/>
      <c r="BL269" s="58"/>
      <c r="BM269" s="45" t="s">
        <v>304</v>
      </c>
      <c r="BN269" s="58"/>
      <c r="BO269" s="59"/>
      <c r="BP269" s="2"/>
      <c r="BQ269" s="2"/>
      <c r="BR269" s="2"/>
      <c r="BS269" s="2"/>
      <c r="BT269" s="2"/>
      <c r="BU269" s="2"/>
      <c r="BV269" s="2"/>
      <c r="BW269" s="2"/>
      <c r="BX269" s="2"/>
    </row>
    <row r="270" spans="1:7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95" t="s">
        <v>239</v>
      </c>
      <c r="AR270" s="96"/>
      <c r="AS270" s="97"/>
      <c r="AT270" s="98"/>
      <c r="AU270" s="63"/>
      <c r="AV270" s="99" t="s">
        <v>294</v>
      </c>
      <c r="AW270" s="100"/>
      <c r="AX270" s="63"/>
      <c r="AY270" s="99" t="s">
        <v>299</v>
      </c>
      <c r="AZ270" s="100"/>
      <c r="BA270" s="63"/>
      <c r="BB270" s="101"/>
      <c r="BC270" s="99" t="s">
        <v>301</v>
      </c>
      <c r="BD270" s="101"/>
      <c r="BE270" s="100"/>
      <c r="BF270" s="101"/>
      <c r="BG270" s="101"/>
      <c r="BH270" s="99" t="s">
        <v>301</v>
      </c>
      <c r="BI270" s="101"/>
      <c r="BJ270" s="100"/>
      <c r="BK270" s="101"/>
      <c r="BL270" s="101"/>
      <c r="BM270" s="99" t="s">
        <v>305</v>
      </c>
      <c r="BN270" s="101"/>
      <c r="BO270" s="100"/>
      <c r="BP270" s="2"/>
      <c r="BQ270" s="2"/>
      <c r="BR270" s="2"/>
      <c r="BS270" s="2"/>
      <c r="BT270" s="2"/>
      <c r="BU270" s="2"/>
      <c r="BV270" s="2"/>
      <c r="BW270" s="2"/>
      <c r="BX270" s="2"/>
    </row>
    <row r="271" spans="1:7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95" t="s">
        <v>292</v>
      </c>
      <c r="AR271" s="96"/>
      <c r="AS271" s="97"/>
      <c r="AT271" s="98"/>
      <c r="AU271" s="63"/>
      <c r="AV271" s="99" t="s">
        <v>294</v>
      </c>
      <c r="AW271" s="100"/>
      <c r="AX271" s="63"/>
      <c r="AY271" s="99" t="s">
        <v>299</v>
      </c>
      <c r="AZ271" s="100"/>
      <c r="BA271" s="63"/>
      <c r="BB271" s="101"/>
      <c r="BC271" s="99" t="s">
        <v>301</v>
      </c>
      <c r="BD271" s="101"/>
      <c r="BE271" s="100"/>
      <c r="BF271" s="101"/>
      <c r="BG271" s="101"/>
      <c r="BH271" s="99" t="s">
        <v>301</v>
      </c>
      <c r="BI271" s="101"/>
      <c r="BJ271" s="100"/>
      <c r="BK271" s="101"/>
      <c r="BL271" s="101"/>
      <c r="BM271" s="99" t="s">
        <v>306</v>
      </c>
      <c r="BN271" s="101"/>
      <c r="BO271" s="100"/>
      <c r="BP271" s="2"/>
      <c r="BQ271" s="2"/>
      <c r="BR271" s="2"/>
      <c r="BS271" s="2"/>
      <c r="BT271" s="2"/>
      <c r="BU271" s="2"/>
      <c r="BV271" s="2"/>
      <c r="BW271" s="2"/>
      <c r="BX271" s="2"/>
    </row>
    <row r="272" spans="1:7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102" t="s">
        <v>230</v>
      </c>
      <c r="AR272" s="97"/>
      <c r="AS272" s="103"/>
      <c r="AT272" s="98"/>
      <c r="AU272" s="63"/>
      <c r="AV272" s="99" t="s">
        <v>295</v>
      </c>
      <c r="AW272" s="100"/>
      <c r="AX272" s="63"/>
      <c r="AY272" s="99" t="s">
        <v>299</v>
      </c>
      <c r="AZ272" s="100"/>
      <c r="BA272" s="63"/>
      <c r="BB272" s="101"/>
      <c r="BC272" s="99" t="s">
        <v>301</v>
      </c>
      <c r="BD272" s="101"/>
      <c r="BE272" s="100"/>
      <c r="BF272" s="101"/>
      <c r="BG272" s="101"/>
      <c r="BH272" s="99" t="s">
        <v>301</v>
      </c>
      <c r="BI272" s="101"/>
      <c r="BJ272" s="100"/>
      <c r="BK272" s="101"/>
      <c r="BL272" s="101"/>
      <c r="BM272" s="99" t="s">
        <v>307</v>
      </c>
      <c r="BN272" s="101"/>
      <c r="BO272" s="100"/>
      <c r="BP272" s="2"/>
      <c r="BQ272" s="2"/>
      <c r="BR272" s="2"/>
      <c r="BS272" s="2"/>
      <c r="BT272" s="2"/>
      <c r="BU272" s="2"/>
      <c r="BV272" s="2"/>
      <c r="BW272" s="2"/>
      <c r="BX272" s="2"/>
    </row>
    <row r="273" spans="1:7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102" t="s">
        <v>293</v>
      </c>
      <c r="AR273" s="97"/>
      <c r="AS273" s="103"/>
      <c r="AT273" s="98"/>
      <c r="AU273" s="63"/>
      <c r="AV273" s="99" t="s">
        <v>296</v>
      </c>
      <c r="AW273" s="100"/>
      <c r="AX273" s="63"/>
      <c r="AY273" s="99" t="s">
        <v>300</v>
      </c>
      <c r="AZ273" s="100"/>
      <c r="BA273" s="63"/>
      <c r="BB273" s="101"/>
      <c r="BC273" s="99" t="s">
        <v>302</v>
      </c>
      <c r="BD273" s="101"/>
      <c r="BE273" s="100"/>
      <c r="BF273" s="101"/>
      <c r="BG273" s="101"/>
      <c r="BH273" s="99" t="s">
        <v>303</v>
      </c>
      <c r="BI273" s="101"/>
      <c r="BJ273" s="100"/>
      <c r="BK273" s="101"/>
      <c r="BL273" s="101"/>
      <c r="BM273" s="99" t="s">
        <v>308</v>
      </c>
      <c r="BN273" s="101"/>
      <c r="BO273" s="100"/>
      <c r="BP273" s="2"/>
      <c r="BQ273" s="2"/>
      <c r="BR273" s="2"/>
      <c r="BS273" s="2"/>
      <c r="BT273" s="2"/>
      <c r="BU273" s="2"/>
      <c r="BV273" s="2"/>
      <c r="BW273" s="2"/>
      <c r="BX273" s="2"/>
    </row>
    <row r="274" spans="1:7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13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</row>
    <row r="275" spans="1:7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70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</row>
    <row r="276" spans="1:76" ht="4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</row>
    <row r="277" spans="1:7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72" t="s">
        <v>277</v>
      </c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</row>
    <row r="278" spans="1:7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13" t="s">
        <v>268</v>
      </c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</row>
    <row r="279" spans="1:76" ht="3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</row>
    <row r="280" spans="1:7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57"/>
      <c r="BC280" s="58"/>
      <c r="BD280" s="45" t="s">
        <v>152</v>
      </c>
      <c r="BE280" s="45"/>
      <c r="BF280" s="58"/>
      <c r="BG280" s="57"/>
      <c r="BH280" s="58"/>
      <c r="BI280" s="45"/>
      <c r="BJ280" s="45" t="s">
        <v>153</v>
      </c>
      <c r="BK280" s="58"/>
      <c r="BL280" s="58"/>
      <c r="BM280" s="59"/>
      <c r="BN280" s="57"/>
      <c r="BO280" s="45"/>
      <c r="BP280" s="59"/>
      <c r="BQ280" s="45" t="s">
        <v>154</v>
      </c>
      <c r="BR280" s="45"/>
      <c r="BS280" s="45"/>
      <c r="BT280" s="93"/>
      <c r="BU280" s="2"/>
      <c r="BV280" s="2"/>
      <c r="BW280" s="2"/>
      <c r="BX280" s="2"/>
    </row>
    <row r="281" spans="1:7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66"/>
      <c r="BC281" s="67"/>
      <c r="BD281" s="68" t="s">
        <v>107</v>
      </c>
      <c r="BE281" s="68"/>
      <c r="BF281" s="67"/>
      <c r="BG281" s="66"/>
      <c r="BH281" s="67"/>
      <c r="BI281" s="68"/>
      <c r="BJ281" s="68" t="s">
        <v>93</v>
      </c>
      <c r="BK281" s="67"/>
      <c r="BL281" s="67"/>
      <c r="BM281" s="69"/>
      <c r="BN281" s="66"/>
      <c r="BO281" s="68"/>
      <c r="BP281" s="69"/>
      <c r="BQ281" s="68" t="s">
        <v>269</v>
      </c>
      <c r="BR281" s="68"/>
      <c r="BS281" s="68"/>
      <c r="BT281" s="94"/>
      <c r="BU281" s="2"/>
      <c r="BV281" s="2"/>
      <c r="BW281" s="2"/>
      <c r="BX281" s="2"/>
    </row>
    <row r="282" spans="1:7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</row>
    <row r="283" spans="1:7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72" t="s">
        <v>272</v>
      </c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</row>
    <row r="284" spans="1:7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13" t="s">
        <v>271</v>
      </c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</row>
    <row r="285" spans="1:76" ht="5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</row>
    <row r="286" spans="1:7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57"/>
      <c r="BC286" s="58"/>
      <c r="BD286" s="45" t="s">
        <v>152</v>
      </c>
      <c r="BE286" s="45"/>
      <c r="BF286" s="58"/>
      <c r="BG286" s="57"/>
      <c r="BH286" s="58"/>
      <c r="BI286" s="45"/>
      <c r="BJ286" s="45" t="s">
        <v>153</v>
      </c>
      <c r="BK286" s="58"/>
      <c r="BL286" s="58"/>
      <c r="BM286" s="59"/>
      <c r="BN286" s="57"/>
      <c r="BO286" s="45"/>
      <c r="BP286" s="59"/>
      <c r="BQ286" s="45" t="s">
        <v>154</v>
      </c>
      <c r="BR286" s="45"/>
      <c r="BS286" s="45"/>
      <c r="BT286" s="93"/>
      <c r="BU286" s="2"/>
      <c r="BV286" s="2"/>
      <c r="BW286" s="2"/>
      <c r="BX286" s="2"/>
    </row>
    <row r="287" spans="1:7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66"/>
      <c r="BC287" s="67"/>
      <c r="BD287" s="68" t="s">
        <v>107</v>
      </c>
      <c r="BE287" s="68"/>
      <c r="BF287" s="67"/>
      <c r="BG287" s="66"/>
      <c r="BH287" s="67"/>
      <c r="BI287" s="68"/>
      <c r="BJ287" s="68" t="s">
        <v>149</v>
      </c>
      <c r="BK287" s="67"/>
      <c r="BL287" s="67"/>
      <c r="BM287" s="69"/>
      <c r="BN287" s="66"/>
      <c r="BO287" s="68"/>
      <c r="BP287" s="69"/>
      <c r="BQ287" s="68" t="s">
        <v>270</v>
      </c>
      <c r="BR287" s="68"/>
      <c r="BS287" s="68"/>
      <c r="BT287" s="94"/>
      <c r="BU287" s="2"/>
      <c r="BV287" s="2"/>
      <c r="BW287" s="2"/>
      <c r="BX287" s="2"/>
    </row>
    <row r="288" spans="1:7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</row>
    <row r="289" spans="1:7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72" t="s">
        <v>273</v>
      </c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</row>
    <row r="290" spans="1:7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13" t="s">
        <v>274</v>
      </c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</row>
    <row r="291" spans="1:76" ht="3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</row>
    <row r="292" spans="1:7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57"/>
      <c r="BC292" s="58"/>
      <c r="BD292" s="45" t="s">
        <v>152</v>
      </c>
      <c r="BE292" s="45"/>
      <c r="BF292" s="58"/>
      <c r="BG292" s="57"/>
      <c r="BH292" s="58"/>
      <c r="BI292" s="45"/>
      <c r="BJ292" s="45" t="s">
        <v>153</v>
      </c>
      <c r="BK292" s="58"/>
      <c r="BL292" s="58"/>
      <c r="BM292" s="59"/>
      <c r="BN292" s="57"/>
      <c r="BO292" s="45"/>
      <c r="BP292" s="59"/>
      <c r="BQ292" s="45" t="s">
        <v>154</v>
      </c>
      <c r="BR292" s="45"/>
      <c r="BS292" s="45"/>
      <c r="BT292" s="93"/>
      <c r="BU292" s="2"/>
      <c r="BV292" s="2"/>
      <c r="BW292" s="2"/>
      <c r="BX292" s="2"/>
    </row>
    <row r="293" spans="1:7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66"/>
      <c r="BC293" s="67"/>
      <c r="BD293" s="68" t="s">
        <v>107</v>
      </c>
      <c r="BE293" s="68"/>
      <c r="BF293" s="67"/>
      <c r="BG293" s="66"/>
      <c r="BH293" s="67"/>
      <c r="BI293" s="68"/>
      <c r="BJ293" s="68" t="s">
        <v>94</v>
      </c>
      <c r="BK293" s="67"/>
      <c r="BL293" s="67"/>
      <c r="BM293" s="69"/>
      <c r="BN293" s="66"/>
      <c r="BO293" s="68"/>
      <c r="BP293" s="69"/>
      <c r="BQ293" s="68" t="s">
        <v>275</v>
      </c>
      <c r="BR293" s="68"/>
      <c r="BS293" s="68"/>
      <c r="BT293" s="94"/>
      <c r="BU293" s="2"/>
      <c r="BV293" s="2"/>
      <c r="BW293" s="2"/>
      <c r="BX293" s="2"/>
    </row>
    <row r="294" spans="1:7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</row>
    <row r="295" spans="1:7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72" t="s">
        <v>276</v>
      </c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</row>
    <row r="296" spans="1:7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13" t="s">
        <v>278</v>
      </c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</row>
    <row r="297" spans="1:76" ht="5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</row>
    <row r="298" spans="1:7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57"/>
      <c r="BC298" s="58"/>
      <c r="BD298" s="45" t="s">
        <v>152</v>
      </c>
      <c r="BE298" s="45"/>
      <c r="BF298" s="58"/>
      <c r="BG298" s="57"/>
      <c r="BH298" s="58"/>
      <c r="BI298" s="45"/>
      <c r="BJ298" s="45" t="s">
        <v>153</v>
      </c>
      <c r="BK298" s="58"/>
      <c r="BL298" s="58"/>
      <c r="BM298" s="59"/>
      <c r="BN298" s="57"/>
      <c r="BO298" s="45"/>
      <c r="BP298" s="45" t="s">
        <v>154</v>
      </c>
      <c r="BQ298" s="45"/>
      <c r="BR298" s="93"/>
      <c r="BS298" s="2"/>
      <c r="BT298" s="2"/>
      <c r="BU298" s="2"/>
      <c r="BV298" s="2"/>
      <c r="BW298" s="2"/>
      <c r="BX298" s="2"/>
    </row>
    <row r="299" spans="1:7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66"/>
      <c r="BC299" s="67"/>
      <c r="BD299" s="68" t="s">
        <v>107</v>
      </c>
      <c r="BE299" s="68"/>
      <c r="BF299" s="67"/>
      <c r="BG299" s="66"/>
      <c r="BH299" s="67"/>
      <c r="BI299" s="68"/>
      <c r="BJ299" s="68" t="s">
        <v>90</v>
      </c>
      <c r="BK299" s="67"/>
      <c r="BL299" s="67"/>
      <c r="BM299" s="69"/>
      <c r="BN299" s="66"/>
      <c r="BO299" s="68"/>
      <c r="BP299" s="68" t="s">
        <v>17</v>
      </c>
      <c r="BQ299" s="68"/>
      <c r="BR299" s="94"/>
      <c r="BS299" s="2"/>
      <c r="BT299" s="2"/>
      <c r="BU299" s="2"/>
      <c r="BV299" s="2"/>
      <c r="BW299" s="2"/>
      <c r="BX299" s="2"/>
    </row>
    <row r="300" spans="1:7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</row>
    <row r="301" spans="1:7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13" t="s">
        <v>281</v>
      </c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</row>
    <row r="302" spans="1:76" ht="4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13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</row>
    <row r="303" spans="1:7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57"/>
      <c r="BC303" s="58"/>
      <c r="BD303" s="45"/>
      <c r="BE303" s="45" t="s">
        <v>152</v>
      </c>
      <c r="BF303" s="58"/>
      <c r="BG303" s="58"/>
      <c r="BH303" s="59"/>
      <c r="BI303" s="58"/>
      <c r="BJ303" s="58"/>
      <c r="BK303" s="45" t="s">
        <v>153</v>
      </c>
      <c r="BL303" s="45"/>
      <c r="BM303" s="59"/>
      <c r="BN303" s="58"/>
      <c r="BO303" s="45" t="s">
        <v>154</v>
      </c>
      <c r="BP303" s="59"/>
      <c r="BQ303" s="2"/>
      <c r="BR303" s="2"/>
      <c r="BS303" s="2"/>
      <c r="BT303" s="2"/>
      <c r="BU303" s="2"/>
      <c r="BV303" s="2"/>
      <c r="BW303" s="2"/>
      <c r="BX303" s="2"/>
    </row>
    <row r="304" spans="1:7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66"/>
      <c r="BC304" s="67"/>
      <c r="BD304" s="68"/>
      <c r="BE304" s="68" t="s">
        <v>109</v>
      </c>
      <c r="BF304" s="67"/>
      <c r="BG304" s="67"/>
      <c r="BH304" s="69"/>
      <c r="BI304" s="67"/>
      <c r="BJ304" s="67"/>
      <c r="BK304" s="68" t="s">
        <v>122</v>
      </c>
      <c r="BL304" s="68"/>
      <c r="BM304" s="69"/>
      <c r="BN304" s="67"/>
      <c r="BO304" s="68" t="s">
        <v>121</v>
      </c>
      <c r="BP304" s="69"/>
      <c r="BQ304" s="2"/>
      <c r="BR304" s="2"/>
      <c r="BS304" s="2"/>
      <c r="BT304" s="2"/>
      <c r="BU304" s="2"/>
      <c r="BV304" s="2"/>
      <c r="BW304" s="2"/>
      <c r="BX304" s="2"/>
    </row>
    <row r="305" spans="1:7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31"/>
      <c r="BE305" s="31"/>
      <c r="BF305" s="2"/>
      <c r="BG305" s="2"/>
      <c r="BH305" s="2"/>
      <c r="BI305" s="2"/>
      <c r="BJ305" s="2"/>
      <c r="BK305" s="31"/>
      <c r="BL305" s="31"/>
      <c r="BM305" s="2"/>
      <c r="BN305" s="2"/>
      <c r="BO305" s="31"/>
      <c r="BP305" s="2"/>
      <c r="BQ305" s="2"/>
      <c r="BR305" s="2"/>
      <c r="BS305" s="2"/>
      <c r="BT305" s="2"/>
      <c r="BU305" s="2"/>
      <c r="BV305" s="2"/>
      <c r="BW305" s="2"/>
      <c r="BX305" s="2"/>
    </row>
    <row r="306" spans="1:7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72" t="s">
        <v>279</v>
      </c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</row>
    <row r="307" spans="1:7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13" t="s">
        <v>280</v>
      </c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</row>
    <row r="308" spans="1:76" ht="5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</row>
    <row r="309" spans="1:7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57"/>
      <c r="BC309" s="58"/>
      <c r="BD309" s="45" t="s">
        <v>152</v>
      </c>
      <c r="BE309" s="45"/>
      <c r="BF309" s="58"/>
      <c r="BG309" s="57"/>
      <c r="BH309" s="58"/>
      <c r="BI309" s="45"/>
      <c r="BJ309" s="45" t="s">
        <v>153</v>
      </c>
      <c r="BK309" s="58"/>
      <c r="BL309" s="58"/>
      <c r="BM309" s="59"/>
      <c r="BN309" s="57"/>
      <c r="BO309" s="45"/>
      <c r="BP309" s="45" t="s">
        <v>154</v>
      </c>
      <c r="BQ309" s="45"/>
      <c r="BR309" s="93"/>
      <c r="BS309" s="2"/>
      <c r="BT309" s="2"/>
      <c r="BU309" s="2"/>
      <c r="BV309" s="2"/>
      <c r="BW309" s="2"/>
      <c r="BX309" s="2"/>
    </row>
    <row r="310" spans="1:7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66"/>
      <c r="BC310" s="67"/>
      <c r="BD310" s="68" t="s">
        <v>107</v>
      </c>
      <c r="BE310" s="68"/>
      <c r="BF310" s="67"/>
      <c r="BG310" s="66"/>
      <c r="BH310" s="67"/>
      <c r="BI310" s="68"/>
      <c r="BJ310" s="68" t="s">
        <v>87</v>
      </c>
      <c r="BK310" s="67"/>
      <c r="BL310" s="67"/>
      <c r="BM310" s="69"/>
      <c r="BN310" s="66"/>
      <c r="BO310" s="68"/>
      <c r="BP310" s="68" t="s">
        <v>68</v>
      </c>
      <c r="BQ310" s="68"/>
      <c r="BR310" s="94"/>
      <c r="BS310" s="2"/>
      <c r="BT310" s="2"/>
      <c r="BU310" s="2"/>
      <c r="BV310" s="2"/>
      <c r="BW310" s="2"/>
      <c r="BX310" s="2"/>
    </row>
    <row r="311" spans="1:7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</row>
    <row r="312" spans="1:7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72" t="s">
        <v>282</v>
      </c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</row>
    <row r="313" spans="1:7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13" t="s">
        <v>283</v>
      </c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</row>
    <row r="314" spans="1:76" ht="3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</row>
    <row r="315" spans="1:7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57"/>
      <c r="BC315" s="58"/>
      <c r="BD315" s="45" t="s">
        <v>152</v>
      </c>
      <c r="BE315" s="45"/>
      <c r="BF315" s="58"/>
      <c r="BG315" s="57"/>
      <c r="BH315" s="58"/>
      <c r="BI315" s="45"/>
      <c r="BJ315" s="45" t="s">
        <v>153</v>
      </c>
      <c r="BK315" s="58"/>
      <c r="BL315" s="58"/>
      <c r="BM315" s="59"/>
      <c r="BN315" s="57"/>
      <c r="BO315" s="45"/>
      <c r="BP315" s="45" t="s">
        <v>154</v>
      </c>
      <c r="BQ315" s="45"/>
      <c r="BR315" s="93"/>
      <c r="BS315" s="2"/>
      <c r="BT315" s="2"/>
      <c r="BU315" s="2"/>
      <c r="BV315" s="2"/>
      <c r="BW315" s="2"/>
      <c r="BX315" s="2"/>
    </row>
    <row r="316" spans="1:7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66"/>
      <c r="BC316" s="67"/>
      <c r="BD316" s="68" t="s">
        <v>107</v>
      </c>
      <c r="BE316" s="68"/>
      <c r="BF316" s="67"/>
      <c r="BG316" s="66"/>
      <c r="BH316" s="67"/>
      <c r="BI316" s="68"/>
      <c r="BJ316" s="68" t="s">
        <v>92</v>
      </c>
      <c r="BK316" s="67"/>
      <c r="BL316" s="67"/>
      <c r="BM316" s="69"/>
      <c r="BN316" s="66"/>
      <c r="BO316" s="68"/>
      <c r="BP316" s="68" t="s">
        <v>18</v>
      </c>
      <c r="BQ316" s="68"/>
      <c r="BR316" s="94"/>
      <c r="BS316" s="2"/>
      <c r="BT316" s="2"/>
      <c r="BU316" s="2"/>
      <c r="BV316" s="2"/>
      <c r="BW316" s="2"/>
      <c r="BX316" s="2"/>
    </row>
    <row r="317" spans="1:7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</row>
    <row r="318" spans="1:7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13" t="s">
        <v>284</v>
      </c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</row>
    <row r="319" spans="1:7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13" t="s">
        <v>285</v>
      </c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</row>
    <row r="320" spans="1:7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13"/>
      <c r="BC320" s="2" t="s">
        <v>312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</row>
    <row r="321" spans="1:76" ht="3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</row>
    <row r="322" spans="1:7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57"/>
      <c r="BC322" s="58"/>
      <c r="BD322" s="45" t="s">
        <v>152</v>
      </c>
      <c r="BE322" s="45"/>
      <c r="BF322" s="58"/>
      <c r="BG322" s="57"/>
      <c r="BH322" s="58"/>
      <c r="BI322" s="45"/>
      <c r="BJ322" s="45" t="s">
        <v>153</v>
      </c>
      <c r="BK322" s="58"/>
      <c r="BL322" s="58"/>
      <c r="BM322" s="59"/>
      <c r="BN322" s="57"/>
      <c r="BO322" s="45"/>
      <c r="BP322" s="45" t="s">
        <v>154</v>
      </c>
      <c r="BQ322" s="45"/>
      <c r="BR322" s="93"/>
      <c r="BS322" s="2"/>
      <c r="BT322" s="2"/>
      <c r="BU322" s="2"/>
      <c r="BV322" s="2"/>
      <c r="BW322" s="2"/>
      <c r="BX322" s="2"/>
    </row>
    <row r="323" spans="1:7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66"/>
      <c r="BC323" s="67"/>
      <c r="BD323" s="68" t="s">
        <v>110</v>
      </c>
      <c r="BE323" s="68"/>
      <c r="BF323" s="67"/>
      <c r="BG323" s="66"/>
      <c r="BH323" s="67"/>
      <c r="BI323" s="68"/>
      <c r="BJ323" s="68" t="s">
        <v>92</v>
      </c>
      <c r="BK323" s="67"/>
      <c r="BL323" s="67"/>
      <c r="BM323" s="69"/>
      <c r="BN323" s="66"/>
      <c r="BO323" s="68"/>
      <c r="BP323" s="68" t="s">
        <v>18</v>
      </c>
      <c r="BQ323" s="68"/>
      <c r="BR323" s="94"/>
      <c r="BS323" s="2"/>
      <c r="BT323" s="2"/>
      <c r="BU323" s="2"/>
      <c r="BV323" s="2"/>
      <c r="BW323" s="2"/>
      <c r="BX323" s="2"/>
    </row>
    <row r="324" spans="1:7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</row>
    <row r="325" spans="1:7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13" t="s">
        <v>281</v>
      </c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</row>
    <row r="326" spans="1:76" ht="3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13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</row>
    <row r="327" spans="1:7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57"/>
      <c r="BC327" s="58"/>
      <c r="BD327" s="45"/>
      <c r="BE327" s="45" t="s">
        <v>152</v>
      </c>
      <c r="BF327" s="58"/>
      <c r="BG327" s="58"/>
      <c r="BH327" s="59"/>
      <c r="BI327" s="58"/>
      <c r="BJ327" s="58"/>
      <c r="BK327" s="45" t="s">
        <v>153</v>
      </c>
      <c r="BL327" s="45"/>
      <c r="BM327" s="59"/>
      <c r="BN327" s="58"/>
      <c r="BO327" s="45" t="s">
        <v>154</v>
      </c>
      <c r="BP327" s="59"/>
      <c r="BQ327" s="2"/>
      <c r="BR327" s="2"/>
      <c r="BS327" s="2"/>
      <c r="BT327" s="2"/>
      <c r="BU327" s="2"/>
      <c r="BV327" s="2"/>
      <c r="BW327" s="2"/>
      <c r="BX327" s="2"/>
    </row>
    <row r="328" spans="1:7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66"/>
      <c r="BC328" s="67"/>
      <c r="BD328" s="68"/>
      <c r="BE328" s="68" t="s">
        <v>110</v>
      </c>
      <c r="BF328" s="67"/>
      <c r="BG328" s="67"/>
      <c r="BH328" s="69"/>
      <c r="BI328" s="67"/>
      <c r="BJ328" s="67"/>
      <c r="BK328" s="68" t="s">
        <v>122</v>
      </c>
      <c r="BL328" s="68"/>
      <c r="BM328" s="69"/>
      <c r="BN328" s="67"/>
      <c r="BO328" s="68" t="s">
        <v>121</v>
      </c>
      <c r="BP328" s="69"/>
      <c r="BQ328" s="2"/>
      <c r="BR328" s="2"/>
      <c r="BS328" s="2"/>
      <c r="BT328" s="2"/>
      <c r="BU328" s="2"/>
      <c r="BV328" s="2"/>
      <c r="BW328" s="2"/>
      <c r="BX328" s="2"/>
    </row>
    <row r="329" spans="1:7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</row>
    <row r="330" spans="1:7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13" t="s">
        <v>286</v>
      </c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</row>
    <row r="331" spans="1:76" ht="3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</row>
    <row r="332" spans="1:7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</row>
    <row r="333" spans="1:7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</row>
    <row r="334" spans="1:7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</row>
    <row r="335" spans="1:7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</row>
    <row r="336" spans="1:76" ht="4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</row>
    <row r="337" spans="1:7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57"/>
      <c r="BC337" s="58"/>
      <c r="BD337" s="45"/>
      <c r="BE337" s="45" t="s">
        <v>152</v>
      </c>
      <c r="BF337" s="58"/>
      <c r="BG337" s="58"/>
      <c r="BH337" s="59"/>
      <c r="BI337" s="58"/>
      <c r="BJ337" s="58"/>
      <c r="BK337" s="45" t="s">
        <v>153</v>
      </c>
      <c r="BL337" s="45"/>
      <c r="BM337" s="59"/>
      <c r="BN337" s="57"/>
      <c r="BO337" s="45"/>
      <c r="BP337" s="45" t="s">
        <v>154</v>
      </c>
      <c r="BQ337" s="45"/>
      <c r="BR337" s="93"/>
      <c r="BS337" s="2"/>
      <c r="BT337" s="2"/>
      <c r="BU337" s="2"/>
      <c r="BV337" s="2"/>
      <c r="BW337" s="2"/>
      <c r="BX337" s="2"/>
    </row>
    <row r="338" spans="1:7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66"/>
      <c r="BC338" s="67"/>
      <c r="BD338" s="68"/>
      <c r="BE338" s="68" t="s">
        <v>110</v>
      </c>
      <c r="BF338" s="67"/>
      <c r="BG338" s="67"/>
      <c r="BH338" s="69"/>
      <c r="BI338" s="67"/>
      <c r="BJ338" s="67"/>
      <c r="BK338" s="68" t="s">
        <v>100</v>
      </c>
      <c r="BL338" s="68"/>
      <c r="BM338" s="69"/>
      <c r="BN338" s="66"/>
      <c r="BO338" s="68"/>
      <c r="BP338" s="68" t="s">
        <v>287</v>
      </c>
      <c r="BQ338" s="68"/>
      <c r="BR338" s="94"/>
      <c r="BS338" s="2"/>
      <c r="BT338" s="2"/>
      <c r="BU338" s="2"/>
      <c r="BV338" s="2"/>
      <c r="BW338" s="2"/>
      <c r="BX338" s="2"/>
    </row>
    <row r="339" spans="1:7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</row>
    <row r="340" spans="1:7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</row>
    <row r="341" spans="1:7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70" t="s">
        <v>310</v>
      </c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</row>
    <row r="342" spans="1:7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13" t="s">
        <v>311</v>
      </c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</row>
    <row r="343" spans="1:7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</row>
    <row r="344" spans="1:7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83" t="s">
        <v>245</v>
      </c>
      <c r="AR344" s="84"/>
      <c r="AS344" s="58"/>
      <c r="AT344" s="59"/>
      <c r="AU344" s="58"/>
      <c r="AV344" s="58"/>
      <c r="AW344" s="45" t="s">
        <v>304</v>
      </c>
      <c r="AX344" s="58"/>
      <c r="AY344" s="59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</row>
    <row r="345" spans="1:7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95" t="s">
        <v>239</v>
      </c>
      <c r="AR345" s="96"/>
      <c r="AS345" s="97"/>
      <c r="AT345" s="98"/>
      <c r="AU345" s="101"/>
      <c r="AV345" s="101"/>
      <c r="AW345" s="99" t="s">
        <v>305</v>
      </c>
      <c r="AX345" s="101"/>
      <c r="AY345" s="100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</row>
    <row r="346" spans="1:7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95" t="s">
        <v>292</v>
      </c>
      <c r="AR346" s="96"/>
      <c r="AS346" s="97"/>
      <c r="AT346" s="98"/>
      <c r="AU346" s="101"/>
      <c r="AV346" s="101"/>
      <c r="AW346" s="99" t="s">
        <v>306</v>
      </c>
      <c r="AX346" s="101"/>
      <c r="AY346" s="100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</row>
    <row r="347" spans="1:7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102" t="s">
        <v>230</v>
      </c>
      <c r="AR347" s="97"/>
      <c r="AS347" s="103"/>
      <c r="AT347" s="98"/>
      <c r="AU347" s="101"/>
      <c r="AV347" s="101"/>
      <c r="AW347" s="99" t="s">
        <v>307</v>
      </c>
      <c r="AX347" s="101"/>
      <c r="AY347" s="100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</row>
    <row r="348" spans="1:7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102" t="s">
        <v>293</v>
      </c>
      <c r="AR348" s="97"/>
      <c r="AS348" s="103"/>
      <c r="AT348" s="98"/>
      <c r="AU348" s="101"/>
      <c r="AV348" s="101"/>
      <c r="AW348" s="99" t="s">
        <v>308</v>
      </c>
      <c r="AX348" s="101"/>
      <c r="AY348" s="100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</row>
    <row r="349" spans="1:7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</row>
    <row r="350" spans="1:7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57"/>
      <c r="AR350" s="58"/>
      <c r="AS350" s="45"/>
      <c r="AT350" s="45"/>
      <c r="AU350" s="58"/>
      <c r="AV350" s="45" t="s">
        <v>118</v>
      </c>
      <c r="AW350" s="45"/>
      <c r="AX350" s="45"/>
      <c r="AY350" s="58"/>
      <c r="AZ350" s="45"/>
      <c r="BA350" s="59"/>
      <c r="BB350" s="58"/>
      <c r="BC350" s="58"/>
      <c r="BD350" s="45" t="s">
        <v>154</v>
      </c>
      <c r="BE350" s="45"/>
      <c r="BF350" s="59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</row>
    <row r="351" spans="1:7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66"/>
      <c r="AR351" s="67"/>
      <c r="AS351" s="68"/>
      <c r="AT351" s="68"/>
      <c r="AU351" s="67"/>
      <c r="AV351" s="68" t="s">
        <v>315</v>
      </c>
      <c r="AW351" s="68"/>
      <c r="AX351" s="68"/>
      <c r="AY351" s="67"/>
      <c r="AZ351" s="68"/>
      <c r="BA351" s="69"/>
      <c r="BB351" s="67"/>
      <c r="BC351" s="67"/>
      <c r="BD351" s="68" t="s">
        <v>305</v>
      </c>
      <c r="BE351" s="68"/>
      <c r="BF351" s="69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</row>
    <row r="352" spans="1:7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66"/>
      <c r="AR352" s="67"/>
      <c r="AS352" s="68"/>
      <c r="AT352" s="68"/>
      <c r="AU352" s="67"/>
      <c r="AV352" s="68" t="s">
        <v>315</v>
      </c>
      <c r="AW352" s="68"/>
      <c r="AX352" s="68"/>
      <c r="AY352" s="67"/>
      <c r="AZ352" s="68"/>
      <c r="BA352" s="69"/>
      <c r="BB352" s="67"/>
      <c r="BC352" s="67"/>
      <c r="BD352" s="68" t="s">
        <v>306</v>
      </c>
      <c r="BE352" s="68"/>
      <c r="BF352" s="69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</row>
    <row r="353" spans="1:7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66"/>
      <c r="AR353" s="67"/>
      <c r="AS353" s="68"/>
      <c r="AT353" s="68"/>
      <c r="AU353" s="67"/>
      <c r="AV353" s="68" t="s">
        <v>315</v>
      </c>
      <c r="AW353" s="68"/>
      <c r="AX353" s="68"/>
      <c r="AY353" s="67"/>
      <c r="AZ353" s="68"/>
      <c r="BA353" s="69"/>
      <c r="BB353" s="67"/>
      <c r="BC353" s="67"/>
      <c r="BD353" s="68" t="s">
        <v>189</v>
      </c>
      <c r="BE353" s="68"/>
      <c r="BF353" s="69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</row>
    <row r="354" spans="1:7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</row>
    <row r="355" spans="1:7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</row>
    <row r="356" spans="1:7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</row>
    <row r="357" spans="1:7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</row>
    <row r="358" spans="1:7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</row>
    <row r="359" spans="1:7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</row>
    <row r="360" spans="1:7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</row>
    <row r="361" spans="1:7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</row>
    <row r="362" spans="1:7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</row>
    <row r="363" spans="1:7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</row>
    <row r="364" spans="1:7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</row>
    <row r="365" spans="1:7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</row>
    <row r="366" spans="1:7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</row>
    <row r="367" spans="1:7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</row>
    <row r="368" spans="1:7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</row>
    <row r="369" spans="1:7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</row>
    <row r="370" spans="1:7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</row>
    <row r="371" spans="1:7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</row>
    <row r="372" spans="1:7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</row>
    <row r="373" spans="1:76" ht="17.25" customHeight="1" x14ac:dyDescent="0.25">
      <c r="A373" s="88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104" t="s">
        <v>313</v>
      </c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2"/>
    </row>
  </sheetData>
  <mergeCells count="4">
    <mergeCell ref="AZ12:BA12"/>
    <mergeCell ref="AZ13:BA13"/>
    <mergeCell ref="AZ14:BA14"/>
    <mergeCell ref="AZ15:BA15"/>
  </mergeCells>
  <phoneticPr fontId="2" type="noConversion"/>
  <hyperlinks>
    <hyperlink ref="AZ12" location="상단_UI" display="[이동]" xr:uid="{F0C73C5C-96C2-4CAB-B56D-B3737E81624A}"/>
    <hyperlink ref="AZ13" location="명함등급_명함카테고리" display="[이동]" xr:uid="{D8BAE467-C8A0-4BAC-9FA6-1D083D4AE2C6}"/>
    <hyperlink ref="AZ14" location="명함_목록" display="[이동]" xr:uid="{19A70C92-0DDE-466F-8EDB-169D53847C7B}"/>
    <hyperlink ref="AZ15" location="명함_상세" display="[이동]" xr:uid="{361BCFDB-33C9-4242-870D-71E006FFDC38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D40D-30FC-403E-B4D1-F2B8DC7D3189}">
  <sheetPr>
    <tabColor theme="7" tint="0.39997558519241921"/>
  </sheetPr>
  <dimension ref="A1:I39"/>
  <sheetViews>
    <sheetView showGridLines="0" zoomScaleNormal="100" workbookViewId="0"/>
  </sheetViews>
  <sheetFormatPr defaultRowHeight="13.5" x14ac:dyDescent="0.25"/>
  <cols>
    <col min="1" max="2" width="9.140625" style="32"/>
    <col min="3" max="3" width="30.7109375" style="32" bestFit="1" customWidth="1"/>
    <col min="4" max="4" width="9.140625" style="32"/>
    <col min="5" max="5" width="20" style="32" bestFit="1" customWidth="1"/>
    <col min="6" max="6" width="9.140625" style="32"/>
    <col min="7" max="7" width="26.5703125" style="32" bestFit="1" customWidth="1"/>
    <col min="8" max="16384" width="9.140625" style="32"/>
  </cols>
  <sheetData>
    <row r="1" spans="1:9" x14ac:dyDescent="0.25">
      <c r="A1" s="31"/>
      <c r="B1" s="31"/>
      <c r="C1" s="31"/>
      <c r="D1" s="31"/>
      <c r="E1" s="31"/>
      <c r="F1" s="31"/>
      <c r="G1" s="31"/>
      <c r="H1" s="31"/>
      <c r="I1" s="31"/>
    </row>
    <row r="2" spans="1:9" x14ac:dyDescent="0.25">
      <c r="A2" s="31"/>
      <c r="B2" s="31"/>
      <c r="C2" s="31"/>
      <c r="D2" s="31"/>
      <c r="E2" s="31"/>
      <c r="F2" s="31"/>
      <c r="G2" s="31"/>
      <c r="H2" s="31"/>
      <c r="I2" s="31"/>
    </row>
    <row r="3" spans="1:9" x14ac:dyDescent="0.25">
      <c r="A3" s="31"/>
      <c r="B3" s="31"/>
      <c r="C3" s="31"/>
      <c r="D3" s="31"/>
      <c r="E3" s="31"/>
      <c r="F3" s="31"/>
      <c r="G3" s="31"/>
      <c r="H3" s="31"/>
      <c r="I3" s="31"/>
    </row>
    <row r="4" spans="1:9" ht="17.25" customHeight="1" x14ac:dyDescent="0.25">
      <c r="A4" s="31"/>
      <c r="B4" s="31"/>
      <c r="C4" s="41"/>
      <c r="D4" s="42"/>
      <c r="E4" s="45" t="s">
        <v>111</v>
      </c>
      <c r="F4" s="42"/>
      <c r="G4" s="43"/>
      <c r="H4" s="31"/>
      <c r="I4" s="31"/>
    </row>
    <row r="5" spans="1:9" x14ac:dyDescent="0.25">
      <c r="A5" s="31"/>
      <c r="B5" s="31"/>
      <c r="C5" s="31"/>
      <c r="D5" s="31"/>
      <c r="E5" s="44"/>
      <c r="F5" s="31"/>
      <c r="G5" s="31"/>
      <c r="H5" s="31"/>
      <c r="I5" s="31"/>
    </row>
    <row r="6" spans="1:9" x14ac:dyDescent="0.25">
      <c r="A6" s="31"/>
      <c r="B6" s="31"/>
      <c r="C6" s="31"/>
      <c r="D6" s="31"/>
      <c r="E6" s="31"/>
      <c r="F6" s="31"/>
      <c r="G6" s="31"/>
      <c r="H6" s="31"/>
      <c r="I6" s="31"/>
    </row>
    <row r="7" spans="1:9" x14ac:dyDescent="0.25">
      <c r="A7" s="31"/>
      <c r="B7" s="31"/>
      <c r="C7" s="31"/>
      <c r="D7" s="31"/>
      <c r="E7" s="31"/>
      <c r="F7" s="31"/>
      <c r="G7" s="31"/>
      <c r="H7" s="31"/>
      <c r="I7" s="31"/>
    </row>
    <row r="8" spans="1:9" x14ac:dyDescent="0.25">
      <c r="A8" s="31"/>
      <c r="B8" s="31"/>
      <c r="C8" s="52" t="s">
        <v>107</v>
      </c>
      <c r="D8" s="31"/>
      <c r="E8" s="52" t="s">
        <v>108</v>
      </c>
      <c r="F8" s="31"/>
      <c r="G8" s="52" t="s">
        <v>102</v>
      </c>
      <c r="H8" s="31"/>
      <c r="I8" s="31"/>
    </row>
    <row r="9" spans="1:9" x14ac:dyDescent="0.25">
      <c r="A9" s="31"/>
      <c r="B9" s="31"/>
      <c r="C9" s="33" t="s">
        <v>84</v>
      </c>
      <c r="D9" s="31"/>
      <c r="E9" s="33" t="s">
        <v>84</v>
      </c>
      <c r="F9" s="31"/>
      <c r="G9" s="35" t="s">
        <v>84</v>
      </c>
      <c r="H9" s="31"/>
      <c r="I9" s="31"/>
    </row>
    <row r="10" spans="1:9" x14ac:dyDescent="0.25">
      <c r="A10" s="31"/>
      <c r="B10" s="31"/>
      <c r="C10" s="36" t="s">
        <v>87</v>
      </c>
      <c r="D10" s="31"/>
      <c r="E10" s="36" t="s">
        <v>87</v>
      </c>
      <c r="F10" s="31"/>
      <c r="G10" s="33" t="s">
        <v>101</v>
      </c>
      <c r="H10" s="31"/>
      <c r="I10" s="31"/>
    </row>
    <row r="11" spans="1:9" x14ac:dyDescent="0.25">
      <c r="A11" s="31"/>
      <c r="B11" s="31"/>
      <c r="C11" s="37" t="s">
        <v>89</v>
      </c>
      <c r="D11" s="31"/>
      <c r="E11" s="33" t="s">
        <v>95</v>
      </c>
      <c r="F11" s="31"/>
      <c r="G11" s="33" t="s">
        <v>105</v>
      </c>
      <c r="H11" s="31"/>
      <c r="I11" s="31"/>
    </row>
    <row r="12" spans="1:9" x14ac:dyDescent="0.25">
      <c r="A12" s="31"/>
      <c r="B12" s="31"/>
      <c r="C12" s="38" t="s">
        <v>90</v>
      </c>
      <c r="D12" s="31"/>
      <c r="E12" s="33" t="s">
        <v>96</v>
      </c>
      <c r="F12" s="31"/>
      <c r="G12" s="33" t="s">
        <v>103</v>
      </c>
      <c r="H12" s="31"/>
      <c r="I12" s="31"/>
    </row>
    <row r="13" spans="1:9" x14ac:dyDescent="0.25">
      <c r="A13" s="31"/>
      <c r="B13" s="31"/>
      <c r="C13" s="39" t="s">
        <v>92</v>
      </c>
      <c r="D13" s="31"/>
      <c r="E13" s="34" t="s">
        <v>316</v>
      </c>
      <c r="F13" s="31"/>
      <c r="G13" s="36" t="s">
        <v>86</v>
      </c>
      <c r="H13" s="31"/>
      <c r="I13" s="31"/>
    </row>
    <row r="14" spans="1:9" x14ac:dyDescent="0.25">
      <c r="A14" s="31"/>
      <c r="B14" s="31"/>
      <c r="C14" s="33" t="s">
        <v>93</v>
      </c>
      <c r="D14" s="31"/>
      <c r="E14" s="31"/>
      <c r="F14" s="31"/>
      <c r="G14" s="40" t="s">
        <v>91</v>
      </c>
      <c r="H14" s="31"/>
      <c r="I14" s="31"/>
    </row>
    <row r="15" spans="1:9" x14ac:dyDescent="0.25">
      <c r="A15" s="31"/>
      <c r="B15" s="31"/>
      <c r="C15" s="33" t="s">
        <v>94</v>
      </c>
      <c r="D15" s="31"/>
      <c r="E15" s="31"/>
      <c r="F15" s="31"/>
      <c r="G15" s="31"/>
      <c r="H15" s="31"/>
      <c r="I15" s="31"/>
    </row>
    <row r="16" spans="1:9" x14ac:dyDescent="0.25">
      <c r="A16" s="31"/>
      <c r="B16" s="31"/>
      <c r="C16" s="34" t="s">
        <v>122</v>
      </c>
      <c r="D16" s="31"/>
      <c r="E16" s="31"/>
      <c r="F16" s="31"/>
      <c r="G16" s="31"/>
      <c r="H16" s="31"/>
      <c r="I16" s="31"/>
    </row>
    <row r="17" spans="1:9" x14ac:dyDescent="0.25">
      <c r="A17" s="31"/>
      <c r="B17" s="31"/>
      <c r="C17" s="31"/>
      <c r="D17" s="31"/>
      <c r="E17" s="31"/>
      <c r="F17" s="31"/>
      <c r="G17" s="31"/>
      <c r="H17" s="31"/>
      <c r="I17" s="31"/>
    </row>
    <row r="18" spans="1:9" x14ac:dyDescent="0.25">
      <c r="A18" s="31"/>
      <c r="B18" s="31"/>
      <c r="C18" s="31"/>
      <c r="D18" s="31"/>
      <c r="E18" s="31"/>
      <c r="F18" s="31"/>
      <c r="G18" s="31"/>
      <c r="H18" s="31"/>
      <c r="I18" s="31"/>
    </row>
    <row r="19" spans="1:9" x14ac:dyDescent="0.25">
      <c r="A19" s="31"/>
      <c r="B19" s="31"/>
      <c r="C19" s="52" t="s">
        <v>88</v>
      </c>
      <c r="D19" s="31"/>
      <c r="E19" s="52" t="s">
        <v>109</v>
      </c>
      <c r="F19" s="31"/>
      <c r="G19" s="52" t="s">
        <v>112</v>
      </c>
      <c r="H19" s="31"/>
      <c r="I19" s="31"/>
    </row>
    <row r="20" spans="1:9" x14ac:dyDescent="0.25">
      <c r="A20" s="31"/>
      <c r="B20" s="31"/>
      <c r="C20" s="33" t="s">
        <v>84</v>
      </c>
      <c r="D20" s="31"/>
      <c r="E20" s="33" t="s">
        <v>84</v>
      </c>
      <c r="F20" s="31"/>
      <c r="G20" s="46" t="s">
        <v>84</v>
      </c>
      <c r="H20" s="31"/>
      <c r="I20" s="31"/>
    </row>
    <row r="21" spans="1:9" x14ac:dyDescent="0.25">
      <c r="A21" s="31"/>
      <c r="B21" s="31"/>
      <c r="C21" s="37" t="s">
        <v>89</v>
      </c>
      <c r="D21" s="31"/>
      <c r="E21" s="38" t="s">
        <v>90</v>
      </c>
      <c r="F21" s="31"/>
      <c r="G21" s="33" t="s">
        <v>113</v>
      </c>
      <c r="H21" s="31"/>
      <c r="I21" s="31"/>
    </row>
    <row r="22" spans="1:9" x14ac:dyDescent="0.25">
      <c r="A22" s="31"/>
      <c r="B22" s="31"/>
      <c r="C22" s="33" t="s">
        <v>97</v>
      </c>
      <c r="D22" s="31"/>
      <c r="E22" s="33" t="s">
        <v>98</v>
      </c>
      <c r="F22" s="31"/>
      <c r="G22" s="33" t="s">
        <v>114</v>
      </c>
      <c r="H22" s="31"/>
      <c r="I22" s="31"/>
    </row>
    <row r="23" spans="1:9" x14ac:dyDescent="0.25">
      <c r="A23" s="31"/>
      <c r="B23" s="31"/>
      <c r="C23" s="34" t="s">
        <v>122</v>
      </c>
      <c r="D23" s="31"/>
      <c r="E23" s="33" t="s">
        <v>316</v>
      </c>
      <c r="F23" s="31"/>
      <c r="G23" s="33" t="s">
        <v>117</v>
      </c>
      <c r="H23" s="31"/>
      <c r="I23" s="31"/>
    </row>
    <row r="24" spans="1:9" x14ac:dyDescent="0.25">
      <c r="A24" s="31"/>
      <c r="B24" s="31"/>
      <c r="C24" s="31"/>
      <c r="D24" s="31"/>
      <c r="E24" s="34" t="s">
        <v>122</v>
      </c>
      <c r="F24" s="31"/>
      <c r="G24" s="33" t="s">
        <v>115</v>
      </c>
      <c r="H24" s="31"/>
      <c r="I24" s="31"/>
    </row>
    <row r="25" spans="1:9" x14ac:dyDescent="0.25">
      <c r="A25" s="31"/>
      <c r="B25" s="31"/>
      <c r="C25" s="31"/>
      <c r="D25" s="31"/>
      <c r="E25" s="31"/>
      <c r="F25" s="31"/>
      <c r="G25" s="34" t="s">
        <v>116</v>
      </c>
      <c r="H25" s="31"/>
      <c r="I25" s="31"/>
    </row>
    <row r="26" spans="1:9" x14ac:dyDescent="0.25">
      <c r="A26" s="31"/>
      <c r="B26" s="31"/>
      <c r="C26" s="31"/>
      <c r="D26" s="31"/>
      <c r="E26" s="31"/>
      <c r="F26" s="31"/>
      <c r="G26" s="31"/>
      <c r="H26" s="31"/>
      <c r="I26" s="31"/>
    </row>
    <row r="27" spans="1:9" x14ac:dyDescent="0.25">
      <c r="A27" s="31"/>
      <c r="B27" s="31"/>
      <c r="C27" s="31"/>
      <c r="D27" s="31"/>
      <c r="E27" s="52" t="s">
        <v>110</v>
      </c>
      <c r="F27" s="31"/>
      <c r="G27" s="31"/>
      <c r="H27" s="31"/>
      <c r="I27" s="31"/>
    </row>
    <row r="28" spans="1:9" x14ac:dyDescent="0.25">
      <c r="A28" s="31"/>
      <c r="B28" s="31"/>
      <c r="C28" s="31"/>
      <c r="D28" s="31"/>
      <c r="E28" s="33" t="s">
        <v>84</v>
      </c>
      <c r="F28" s="31"/>
      <c r="G28" s="31"/>
      <c r="H28" s="31"/>
      <c r="I28" s="31"/>
    </row>
    <row r="29" spans="1:9" x14ac:dyDescent="0.25">
      <c r="A29" s="31"/>
      <c r="B29" s="31"/>
      <c r="C29" s="31"/>
      <c r="D29" s="31"/>
      <c r="E29" s="39" t="s">
        <v>92</v>
      </c>
      <c r="F29" s="31"/>
      <c r="G29" s="31"/>
      <c r="H29" s="31"/>
      <c r="I29" s="31"/>
    </row>
    <row r="30" spans="1:9" x14ac:dyDescent="0.25">
      <c r="A30" s="31"/>
      <c r="B30" s="31"/>
      <c r="C30" s="31"/>
      <c r="D30" s="31"/>
      <c r="E30" s="47" t="s">
        <v>99</v>
      </c>
      <c r="F30" s="31"/>
      <c r="G30" s="31"/>
      <c r="H30" s="31"/>
      <c r="I30" s="31"/>
    </row>
    <row r="31" spans="1:9" x14ac:dyDescent="0.25">
      <c r="A31" s="31"/>
      <c r="B31" s="31"/>
      <c r="C31" s="31"/>
      <c r="D31" s="31"/>
      <c r="E31" s="33" t="s">
        <v>100</v>
      </c>
      <c r="F31" s="31"/>
      <c r="G31" s="31"/>
      <c r="H31" s="31"/>
      <c r="I31" s="31"/>
    </row>
    <row r="32" spans="1:9" x14ac:dyDescent="0.25">
      <c r="A32" s="31"/>
      <c r="B32" s="31"/>
      <c r="C32" s="31"/>
      <c r="D32" s="31"/>
      <c r="E32" s="33" t="s">
        <v>96</v>
      </c>
      <c r="F32" s="31"/>
      <c r="G32" s="31"/>
      <c r="H32" s="31"/>
      <c r="I32" s="31"/>
    </row>
    <row r="33" spans="1:9" x14ac:dyDescent="0.25">
      <c r="A33" s="31"/>
      <c r="B33" s="31"/>
      <c r="C33" s="31"/>
      <c r="D33" s="31"/>
      <c r="E33" s="34" t="s">
        <v>122</v>
      </c>
      <c r="F33" s="31"/>
      <c r="G33" s="31"/>
      <c r="H33" s="31"/>
      <c r="I33" s="31"/>
    </row>
    <row r="34" spans="1:9" x14ac:dyDescent="0.25">
      <c r="A34" s="31"/>
      <c r="B34" s="31"/>
      <c r="C34" s="31"/>
      <c r="D34" s="31"/>
      <c r="E34" s="31"/>
      <c r="F34" s="31"/>
      <c r="G34" s="31"/>
      <c r="H34" s="31"/>
      <c r="I34" s="31"/>
    </row>
    <row r="35" spans="1:9" x14ac:dyDescent="0.25">
      <c r="A35" s="31"/>
      <c r="B35" s="31"/>
      <c r="C35" s="31"/>
      <c r="D35" s="31"/>
      <c r="E35" s="31"/>
      <c r="F35" s="31"/>
      <c r="G35" s="31"/>
      <c r="H35" s="31"/>
      <c r="I35" s="31"/>
    </row>
    <row r="36" spans="1:9" x14ac:dyDescent="0.25">
      <c r="A36" s="31"/>
      <c r="B36" s="31"/>
      <c r="C36" s="31"/>
      <c r="D36" s="31"/>
      <c r="E36" s="31"/>
      <c r="F36" s="31"/>
      <c r="G36" s="31"/>
      <c r="H36" s="31"/>
      <c r="I36" s="31"/>
    </row>
    <row r="37" spans="1:9" x14ac:dyDescent="0.25">
      <c r="A37" s="31"/>
      <c r="B37" s="31"/>
      <c r="C37" s="31"/>
      <c r="D37" s="31"/>
      <c r="E37" s="31"/>
      <c r="F37" s="31"/>
      <c r="G37" s="31"/>
      <c r="H37" s="31"/>
      <c r="I37" s="31"/>
    </row>
    <row r="38" spans="1:9" x14ac:dyDescent="0.25">
      <c r="A38" s="31"/>
      <c r="B38" s="31"/>
      <c r="C38" s="31"/>
      <c r="D38" s="31"/>
      <c r="E38" s="31"/>
      <c r="F38" s="31"/>
      <c r="G38" s="31"/>
      <c r="H38" s="31"/>
      <c r="I38" s="31"/>
    </row>
    <row r="39" spans="1:9" x14ac:dyDescent="0.25">
      <c r="A39" s="31"/>
      <c r="B39" s="31"/>
      <c r="C39" s="31"/>
      <c r="D39" s="31"/>
      <c r="E39" s="31"/>
      <c r="F39" s="31"/>
      <c r="G39" s="31"/>
      <c r="H39" s="31"/>
      <c r="I39" s="3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6DEC-47B0-4701-9DEB-850D1C3B6090}">
  <sheetPr>
    <tabColor rgb="FFFFC000"/>
  </sheetPr>
  <dimension ref="A1:J13"/>
  <sheetViews>
    <sheetView showGridLines="0" zoomScaleNormal="100" workbookViewId="0">
      <pane ySplit="3" topLeftCell="A4" activePane="bottomLeft" state="frozen"/>
      <selection activeCell="A14" sqref="A14"/>
      <selection pane="bottomLeft"/>
    </sheetView>
  </sheetViews>
  <sheetFormatPr defaultRowHeight="15.95" customHeight="1" x14ac:dyDescent="0.25"/>
  <cols>
    <col min="1" max="1" width="8.7109375" style="22" bestFit="1" customWidth="1"/>
    <col min="2" max="2" width="28.140625" style="22" bestFit="1" customWidth="1"/>
    <col min="3" max="3" width="16.42578125" style="22" customWidth="1"/>
    <col min="4" max="4" width="23.5703125" style="22" bestFit="1" customWidth="1"/>
    <col min="5" max="6" width="18.7109375" style="22" customWidth="1"/>
    <col min="7" max="7" width="28.140625" style="22" bestFit="1" customWidth="1"/>
    <col min="8" max="8" width="27" style="22" bestFit="1" customWidth="1"/>
    <col min="9" max="9" width="27" style="22" customWidth="1"/>
    <col min="10" max="10" width="6.28515625" style="22" bestFit="1" customWidth="1"/>
    <col min="11" max="11" width="14" style="22" customWidth="1"/>
    <col min="12" max="16384" width="9.140625" style="22"/>
  </cols>
  <sheetData>
    <row r="1" spans="1:10" ht="15.95" customHeight="1" x14ac:dyDescent="0.25">
      <c r="A1" s="23" t="s">
        <v>71</v>
      </c>
      <c r="B1" s="23" t="s">
        <v>67</v>
      </c>
      <c r="C1" s="23" t="s">
        <v>68</v>
      </c>
      <c r="D1" s="23" t="s">
        <v>69</v>
      </c>
      <c r="E1" s="23" t="s">
        <v>17</v>
      </c>
      <c r="F1" s="23" t="s">
        <v>18</v>
      </c>
      <c r="G1" s="23" t="s">
        <v>67</v>
      </c>
      <c r="H1" s="23" t="s">
        <v>70</v>
      </c>
      <c r="I1" s="23" t="s">
        <v>148</v>
      </c>
      <c r="J1" s="23" t="s">
        <v>121</v>
      </c>
    </row>
    <row r="2" spans="1:10" ht="15.95" customHeight="1" x14ac:dyDescent="0.25">
      <c r="A2" s="24" t="s">
        <v>19</v>
      </c>
      <c r="B2" s="24" t="s">
        <v>85</v>
      </c>
      <c r="C2" s="24" t="s">
        <v>87</v>
      </c>
      <c r="D2" s="24" t="s">
        <v>89</v>
      </c>
      <c r="E2" s="24" t="s">
        <v>90</v>
      </c>
      <c r="F2" s="24" t="s">
        <v>92</v>
      </c>
      <c r="G2" s="24" t="s">
        <v>93</v>
      </c>
      <c r="H2" s="24" t="s">
        <v>94</v>
      </c>
      <c r="I2" s="24" t="s">
        <v>149</v>
      </c>
      <c r="J2" s="24" t="s">
        <v>122</v>
      </c>
    </row>
    <row r="3" spans="1:10" ht="15.95" customHeight="1" x14ac:dyDescent="0.25">
      <c r="A3" s="26" t="s">
        <v>20</v>
      </c>
      <c r="B3" s="26" t="s">
        <v>21</v>
      </c>
      <c r="C3" s="26" t="s">
        <v>20</v>
      </c>
      <c r="D3" s="26" t="s">
        <v>20</v>
      </c>
      <c r="E3" s="26" t="s">
        <v>20</v>
      </c>
      <c r="F3" s="26" t="s">
        <v>20</v>
      </c>
      <c r="G3" s="26" t="s">
        <v>22</v>
      </c>
      <c r="H3" s="26" t="s">
        <v>22</v>
      </c>
      <c r="I3" s="26" t="s">
        <v>22</v>
      </c>
      <c r="J3" s="26" t="s">
        <v>20</v>
      </c>
    </row>
    <row r="4" spans="1:10" ht="15.95" customHeight="1" x14ac:dyDescent="0.25">
      <c r="A4" s="21">
        <f>1000000+C4*100+D4</f>
        <v>1000101</v>
      </c>
      <c r="B4" s="25" t="s">
        <v>23</v>
      </c>
      <c r="C4" s="21">
        <f>INDEX(OPTION!$B:$B,MATCH(NAMECARD!B4,OPTION!$G:$G,0))</f>
        <v>1</v>
      </c>
      <c r="D4" s="21">
        <v>1</v>
      </c>
      <c r="E4" s="21"/>
      <c r="F4" s="21"/>
      <c r="G4" s="21" t="str">
        <f>"NAMECARD_NAME_"&amp;A4</f>
        <v>NAMECARD_NAME_1000101</v>
      </c>
      <c r="H4" s="21" t="str">
        <f>"NAMECARD_DESC_"&amp;A4</f>
        <v>NAMECARD_DESC_1000101</v>
      </c>
      <c r="I4" s="21" t="str">
        <f>"NAMECARD_IMAGE_"&amp;A4</f>
        <v>NAMECARD_IMAGE_1000101</v>
      </c>
      <c r="J4" s="51">
        <v>1</v>
      </c>
    </row>
    <row r="5" spans="1:10" ht="15.95" customHeight="1" x14ac:dyDescent="0.25">
      <c r="A5" s="21">
        <f t="shared" ref="A5:A13" si="0">1000000+C5*100+D5</f>
        <v>1000202</v>
      </c>
      <c r="B5" s="25" t="s">
        <v>24</v>
      </c>
      <c r="C5" s="21">
        <f>INDEX(OPTION!$B:$B,MATCH(NAMECARD!B5,OPTION!$G:$G,0))</f>
        <v>2</v>
      </c>
      <c r="D5" s="21">
        <v>2</v>
      </c>
      <c r="E5" s="21"/>
      <c r="F5" s="21"/>
      <c r="G5" s="21" t="str">
        <f t="shared" ref="G5:G13" si="1">"NAMECARD_NAME_"&amp;A5</f>
        <v>NAMECARD_NAME_1000202</v>
      </c>
      <c r="H5" s="21" t="str">
        <f t="shared" ref="H5:H13" si="2">"NAMECARD_DESC_"&amp;A5</f>
        <v>NAMECARD_DESC_1000202</v>
      </c>
      <c r="I5" s="21" t="str">
        <f t="shared" ref="I5:I13" si="3">"NAMECARD_IMAGE_"&amp;A5</f>
        <v>NAMECARD_IMAGE_1000202</v>
      </c>
      <c r="J5" s="51">
        <v>2</v>
      </c>
    </row>
    <row r="6" spans="1:10" ht="15.95" customHeight="1" x14ac:dyDescent="0.25">
      <c r="A6" s="21">
        <f t="shared" si="0"/>
        <v>1000303</v>
      </c>
      <c r="B6" s="25" t="s">
        <v>25</v>
      </c>
      <c r="C6" s="21">
        <f>INDEX(OPTION!$B:$B,MATCH(NAMECARD!B6,OPTION!$G:$G,0))</f>
        <v>3</v>
      </c>
      <c r="D6" s="21">
        <v>3</v>
      </c>
      <c r="E6" s="21"/>
      <c r="F6" s="21"/>
      <c r="G6" s="21" t="str">
        <f t="shared" si="1"/>
        <v>NAMECARD_NAME_1000303</v>
      </c>
      <c r="H6" s="21" t="str">
        <f t="shared" si="2"/>
        <v>NAMECARD_DESC_1000303</v>
      </c>
      <c r="I6" s="21" t="str">
        <f t="shared" si="3"/>
        <v>NAMECARD_IMAGE_1000303</v>
      </c>
      <c r="J6" s="51">
        <v>3</v>
      </c>
    </row>
    <row r="7" spans="1:10" ht="15.95" customHeight="1" x14ac:dyDescent="0.25">
      <c r="A7" s="21">
        <f t="shared" si="0"/>
        <v>1000404</v>
      </c>
      <c r="B7" s="25" t="s">
        <v>26</v>
      </c>
      <c r="C7" s="21">
        <f>INDEX(OPTION!$B:$B,MATCH(NAMECARD!B7,OPTION!$G:$G,0))</f>
        <v>4</v>
      </c>
      <c r="D7" s="21">
        <v>4</v>
      </c>
      <c r="E7" s="21"/>
      <c r="F7" s="21"/>
      <c r="G7" s="21" t="str">
        <f t="shared" si="1"/>
        <v>NAMECARD_NAME_1000404</v>
      </c>
      <c r="H7" s="21" t="str">
        <f t="shared" si="2"/>
        <v>NAMECARD_DESC_1000404</v>
      </c>
      <c r="I7" s="21" t="str">
        <f t="shared" si="3"/>
        <v>NAMECARD_IMAGE_1000404</v>
      </c>
      <c r="J7" s="51">
        <v>4</v>
      </c>
    </row>
    <row r="8" spans="1:10" ht="15.95" customHeight="1" x14ac:dyDescent="0.25">
      <c r="A8" s="21">
        <f t="shared" si="0"/>
        <v>1000505</v>
      </c>
      <c r="B8" s="25" t="s">
        <v>27</v>
      </c>
      <c r="C8" s="21">
        <f>INDEX(OPTION!$B:$B,MATCH(NAMECARD!B8,OPTION!$G:$G,0))</f>
        <v>5</v>
      </c>
      <c r="D8" s="21">
        <v>5</v>
      </c>
      <c r="E8" s="21"/>
      <c r="F8" s="21"/>
      <c r="G8" s="21" t="str">
        <f t="shared" si="1"/>
        <v>NAMECARD_NAME_1000505</v>
      </c>
      <c r="H8" s="21" t="str">
        <f t="shared" si="2"/>
        <v>NAMECARD_DESC_1000505</v>
      </c>
      <c r="I8" s="21" t="str">
        <f t="shared" si="3"/>
        <v>NAMECARD_IMAGE_1000505</v>
      </c>
      <c r="J8" s="51">
        <v>5</v>
      </c>
    </row>
    <row r="9" spans="1:10" ht="15.95" customHeight="1" x14ac:dyDescent="0.25">
      <c r="A9" s="21">
        <f t="shared" si="0"/>
        <v>1000606</v>
      </c>
      <c r="B9" s="25" t="s">
        <v>28</v>
      </c>
      <c r="C9" s="21">
        <f>INDEX(OPTION!$B:$B,MATCH(NAMECARD!B9,OPTION!$G:$G,0))</f>
        <v>6</v>
      </c>
      <c r="D9" s="21">
        <v>6</v>
      </c>
      <c r="E9" s="21"/>
      <c r="F9" s="21"/>
      <c r="G9" s="21" t="str">
        <f t="shared" si="1"/>
        <v>NAMECARD_NAME_1000606</v>
      </c>
      <c r="H9" s="21" t="str">
        <f t="shared" si="2"/>
        <v>NAMECARD_DESC_1000606</v>
      </c>
      <c r="I9" s="21" t="str">
        <f t="shared" si="3"/>
        <v>NAMECARD_IMAGE_1000606</v>
      </c>
      <c r="J9" s="51">
        <v>6</v>
      </c>
    </row>
    <row r="10" spans="1:10" ht="15.95" customHeight="1" x14ac:dyDescent="0.25">
      <c r="A10" s="21">
        <f t="shared" si="0"/>
        <v>1000701</v>
      </c>
      <c r="B10" s="25" t="s">
        <v>29</v>
      </c>
      <c r="C10" s="21">
        <f>INDEX(OPTION!$B:$B,MATCH(NAMECARD!B10,OPTION!$G:$G,0))</f>
        <v>7</v>
      </c>
      <c r="D10" s="21">
        <v>1</v>
      </c>
      <c r="E10" s="21"/>
      <c r="F10" s="21"/>
      <c r="G10" s="21" t="str">
        <f t="shared" si="1"/>
        <v>NAMECARD_NAME_1000701</v>
      </c>
      <c r="H10" s="21" t="str">
        <f t="shared" si="2"/>
        <v>NAMECARD_DESC_1000701</v>
      </c>
      <c r="I10" s="21" t="str">
        <f t="shared" si="3"/>
        <v>NAMECARD_IMAGE_1000701</v>
      </c>
      <c r="J10" s="51">
        <v>7</v>
      </c>
    </row>
    <row r="11" spans="1:10" ht="15.95" customHeight="1" x14ac:dyDescent="0.25">
      <c r="A11" s="21">
        <f t="shared" si="0"/>
        <v>1000802</v>
      </c>
      <c r="B11" s="25" t="s">
        <v>30</v>
      </c>
      <c r="C11" s="21">
        <f>INDEX(OPTION!$B:$B,MATCH(NAMECARD!B11,OPTION!$G:$G,0))</f>
        <v>8</v>
      </c>
      <c r="D11" s="21">
        <v>2</v>
      </c>
      <c r="E11" s="21"/>
      <c r="F11" s="21"/>
      <c r="G11" s="21" t="str">
        <f t="shared" si="1"/>
        <v>NAMECARD_NAME_1000802</v>
      </c>
      <c r="H11" s="21" t="str">
        <f t="shared" si="2"/>
        <v>NAMECARD_DESC_1000802</v>
      </c>
      <c r="I11" s="21" t="str">
        <f t="shared" si="3"/>
        <v>NAMECARD_IMAGE_1000802</v>
      </c>
      <c r="J11" s="51">
        <v>8</v>
      </c>
    </row>
    <row r="12" spans="1:10" ht="15.95" customHeight="1" x14ac:dyDescent="0.25">
      <c r="A12" s="21">
        <f t="shared" si="0"/>
        <v>1000903</v>
      </c>
      <c r="B12" s="25" t="s">
        <v>31</v>
      </c>
      <c r="C12" s="21">
        <f>INDEX(OPTION!$B:$B,MATCH(NAMECARD!B12,OPTION!$G:$G,0))</f>
        <v>9</v>
      </c>
      <c r="D12" s="21">
        <v>3</v>
      </c>
      <c r="E12" s="21"/>
      <c r="F12" s="21"/>
      <c r="G12" s="21" t="str">
        <f t="shared" si="1"/>
        <v>NAMECARD_NAME_1000903</v>
      </c>
      <c r="H12" s="21" t="str">
        <f t="shared" si="2"/>
        <v>NAMECARD_DESC_1000903</v>
      </c>
      <c r="I12" s="21" t="str">
        <f t="shared" si="3"/>
        <v>NAMECARD_IMAGE_1000903</v>
      </c>
      <c r="J12" s="51">
        <v>9</v>
      </c>
    </row>
    <row r="13" spans="1:10" ht="15.95" customHeight="1" x14ac:dyDescent="0.25">
      <c r="A13" s="21">
        <f t="shared" si="0"/>
        <v>1001004</v>
      </c>
      <c r="B13" s="25" t="s">
        <v>32</v>
      </c>
      <c r="C13" s="21">
        <f>INDEX(OPTION!$B:$B,MATCH(NAMECARD!B13,OPTION!$G:$G,0))</f>
        <v>10</v>
      </c>
      <c r="D13" s="21">
        <v>4</v>
      </c>
      <c r="E13" s="21"/>
      <c r="F13" s="21"/>
      <c r="G13" s="21" t="str">
        <f t="shared" si="1"/>
        <v>NAMECARD_NAME_1001004</v>
      </c>
      <c r="H13" s="21" t="str">
        <f t="shared" si="2"/>
        <v>NAMECARD_DESC_1001004</v>
      </c>
      <c r="I13" s="21" t="str">
        <f t="shared" si="3"/>
        <v>NAMECARD_IMAGE_1001004</v>
      </c>
      <c r="J13" s="51">
        <v>10</v>
      </c>
    </row>
  </sheetData>
  <phoneticPr fontId="2" type="noConversion"/>
  <conditionalFormatting sqref="A4:A13">
    <cfRule type="duplicateValues" dxfId="5" priority="2"/>
  </conditionalFormatting>
  <conditionalFormatting sqref="J4:J13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53C3-DA98-4B01-804D-03C1208F07E5}">
  <sheetPr>
    <tabColor rgb="FFFFC000"/>
  </sheetPr>
  <dimension ref="A1:G15"/>
  <sheetViews>
    <sheetView showGridLines="0" zoomScaleNormal="100" workbookViewId="0">
      <pane ySplit="3" topLeftCell="A4" activePane="bottomLeft" state="frozen"/>
      <selection activeCell="A14" sqref="A14"/>
      <selection pane="bottomLeft" activeCell="E3" sqref="E3"/>
    </sheetView>
  </sheetViews>
  <sheetFormatPr defaultRowHeight="15.95" customHeight="1" x14ac:dyDescent="0.25"/>
  <cols>
    <col min="1" max="1" width="7.7109375" style="22" bestFit="1" customWidth="1"/>
    <col min="2" max="2" width="17.5703125" style="22" customWidth="1"/>
    <col min="3" max="3" width="13.85546875" style="22" bestFit="1" customWidth="1"/>
    <col min="4" max="4" width="13.5703125" style="22" bestFit="1" customWidth="1"/>
    <col min="5" max="5" width="16.140625" style="22" bestFit="1" customWidth="1"/>
    <col min="6" max="6" width="17" style="22" bestFit="1" customWidth="1"/>
    <col min="7" max="7" width="28.140625" style="22" bestFit="1" customWidth="1"/>
    <col min="8" max="8" width="14" style="22" customWidth="1"/>
    <col min="9" max="16384" width="9.140625" style="22"/>
  </cols>
  <sheetData>
    <row r="1" spans="1:7" ht="15.95" customHeight="1" x14ac:dyDescent="0.25">
      <c r="A1" s="23" t="s">
        <v>71</v>
      </c>
      <c r="B1" s="23" t="s">
        <v>68</v>
      </c>
      <c r="C1" s="23" t="s">
        <v>33</v>
      </c>
      <c r="D1" s="23" t="s">
        <v>34</v>
      </c>
      <c r="E1" s="23" t="s">
        <v>35</v>
      </c>
      <c r="F1" s="23" t="s">
        <v>36</v>
      </c>
      <c r="G1" s="23" t="s">
        <v>16</v>
      </c>
    </row>
    <row r="2" spans="1:7" ht="15.95" customHeight="1" x14ac:dyDescent="0.25">
      <c r="A2" s="24" t="s">
        <v>84</v>
      </c>
      <c r="B2" s="24" t="s">
        <v>87</v>
      </c>
      <c r="C2" s="24" t="s">
        <v>95</v>
      </c>
      <c r="D2" s="24" t="s">
        <v>96</v>
      </c>
      <c r="E2" s="24" t="s">
        <v>316</v>
      </c>
      <c r="F2" s="24" t="s">
        <v>85</v>
      </c>
      <c r="G2" s="24" t="s">
        <v>85</v>
      </c>
    </row>
    <row r="3" spans="1:7" ht="15.95" customHeight="1" x14ac:dyDescent="0.25">
      <c r="A3" s="26" t="s">
        <v>20</v>
      </c>
      <c r="B3" s="26" t="s">
        <v>20</v>
      </c>
      <c r="C3" s="26" t="s">
        <v>20</v>
      </c>
      <c r="D3" s="26" t="s">
        <v>20</v>
      </c>
      <c r="E3" s="26" t="s">
        <v>20</v>
      </c>
      <c r="F3" s="26" t="s">
        <v>21</v>
      </c>
      <c r="G3" s="26" t="s">
        <v>37</v>
      </c>
    </row>
    <row r="4" spans="1:7" ht="15.95" customHeight="1" x14ac:dyDescent="0.25">
      <c r="A4" s="21">
        <f>100000+C4*100+COUNT($B$4:B4)</f>
        <v>100101</v>
      </c>
      <c r="B4" s="21">
        <v>1</v>
      </c>
      <c r="C4" s="21">
        <v>1</v>
      </c>
      <c r="D4" s="21">
        <v>0</v>
      </c>
      <c r="E4" s="21"/>
      <c r="F4" s="25" t="s">
        <v>38</v>
      </c>
      <c r="G4" s="25" t="s">
        <v>39</v>
      </c>
    </row>
    <row r="5" spans="1:7" ht="15.95" customHeight="1" x14ac:dyDescent="0.25">
      <c r="A5" s="21">
        <f>100000+C5*100+COUNT($B$4:B5)</f>
        <v>100102</v>
      </c>
      <c r="B5" s="21">
        <v>1</v>
      </c>
      <c r="C5" s="21">
        <v>1</v>
      </c>
      <c r="D5" s="21">
        <v>0</v>
      </c>
      <c r="E5" s="21"/>
      <c r="F5" s="25" t="s">
        <v>40</v>
      </c>
      <c r="G5" s="25" t="s">
        <v>39</v>
      </c>
    </row>
    <row r="6" spans="1:7" ht="15.95" customHeight="1" x14ac:dyDescent="0.25">
      <c r="A6" s="21">
        <f>100000+C6*100+COUNT($B$4:B6)</f>
        <v>100103</v>
      </c>
      <c r="B6" s="21">
        <v>1</v>
      </c>
      <c r="C6" s="21">
        <v>1</v>
      </c>
      <c r="D6" s="21">
        <v>1</v>
      </c>
      <c r="E6" s="21"/>
      <c r="F6" s="25" t="s">
        <v>41</v>
      </c>
      <c r="G6" s="25" t="s">
        <v>39</v>
      </c>
    </row>
    <row r="7" spans="1:7" ht="15.95" customHeight="1" x14ac:dyDescent="0.25">
      <c r="A7" s="21">
        <f>100000+C7*100+COUNT($B$4:B7)</f>
        <v>100204</v>
      </c>
      <c r="B7" s="21">
        <v>2</v>
      </c>
      <c r="C7" s="21">
        <v>2</v>
      </c>
      <c r="D7" s="21">
        <v>0</v>
      </c>
      <c r="E7" s="21"/>
      <c r="F7" s="25"/>
      <c r="G7" s="25" t="s">
        <v>42</v>
      </c>
    </row>
    <row r="8" spans="1:7" ht="15.95" customHeight="1" x14ac:dyDescent="0.25">
      <c r="A8" s="21">
        <f>100000+C8*100+COUNT($B$4:B8)</f>
        <v>100305</v>
      </c>
      <c r="B8" s="21">
        <v>3</v>
      </c>
      <c r="C8" s="21">
        <v>3</v>
      </c>
      <c r="D8" s="21"/>
      <c r="E8" s="21"/>
      <c r="F8" s="25"/>
      <c r="G8" s="25" t="s">
        <v>43</v>
      </c>
    </row>
    <row r="9" spans="1:7" ht="15.95" customHeight="1" x14ac:dyDescent="0.25">
      <c r="A9" s="21">
        <f>100000+C9*100+COUNT($B$4:B9)</f>
        <v>100406</v>
      </c>
      <c r="B9" s="21">
        <v>4</v>
      </c>
      <c r="C9" s="21">
        <v>4</v>
      </c>
      <c r="D9" s="21"/>
      <c r="E9" s="21"/>
      <c r="F9" s="25"/>
      <c r="G9" s="25" t="s">
        <v>44</v>
      </c>
    </row>
    <row r="10" spans="1:7" ht="15.95" customHeight="1" x14ac:dyDescent="0.25">
      <c r="A10" s="21">
        <f>100000+C10*100+COUNT($B$4:B10)</f>
        <v>100507</v>
      </c>
      <c r="B10" s="21">
        <v>5</v>
      </c>
      <c r="C10" s="21">
        <v>5</v>
      </c>
      <c r="D10" s="21"/>
      <c r="E10" s="21"/>
      <c r="F10" s="25"/>
      <c r="G10" s="25" t="s">
        <v>45</v>
      </c>
    </row>
    <row r="11" spans="1:7" ht="15.95" customHeight="1" x14ac:dyDescent="0.25">
      <c r="A11" s="21">
        <f>100000+C11*100+COUNT($B$4:B11)</f>
        <v>100608</v>
      </c>
      <c r="B11" s="21">
        <v>6</v>
      </c>
      <c r="C11" s="21">
        <v>6</v>
      </c>
      <c r="D11" s="21"/>
      <c r="E11" s="21"/>
      <c r="F11" s="25"/>
      <c r="G11" s="25" t="s">
        <v>46</v>
      </c>
    </row>
    <row r="12" spans="1:7" ht="15.95" customHeight="1" x14ac:dyDescent="0.25">
      <c r="A12" s="21">
        <f>100000+C12*100+COUNT($B$4:B12)</f>
        <v>100709</v>
      </c>
      <c r="B12" s="21">
        <v>7</v>
      </c>
      <c r="C12" s="21">
        <v>7</v>
      </c>
      <c r="D12" s="21"/>
      <c r="E12" s="21"/>
      <c r="F12" s="25"/>
      <c r="G12" s="25" t="s">
        <v>47</v>
      </c>
    </row>
    <row r="13" spans="1:7" ht="15.95" customHeight="1" x14ac:dyDescent="0.25">
      <c r="A13" s="21">
        <f>100000+C13*100+COUNT($B$4:B13)</f>
        <v>100810</v>
      </c>
      <c r="B13" s="21">
        <v>8</v>
      </c>
      <c r="C13" s="21">
        <v>8</v>
      </c>
      <c r="D13" s="21"/>
      <c r="E13" s="21"/>
      <c r="F13" s="25"/>
      <c r="G13" s="25" t="s">
        <v>48</v>
      </c>
    </row>
    <row r="14" spans="1:7" ht="15.95" customHeight="1" x14ac:dyDescent="0.25">
      <c r="A14" s="21">
        <f>100000+C14*100+COUNT($B$4:B14)</f>
        <v>100911</v>
      </c>
      <c r="B14" s="21">
        <v>9</v>
      </c>
      <c r="C14" s="21">
        <v>9</v>
      </c>
      <c r="D14" s="21"/>
      <c r="E14" s="21"/>
      <c r="F14" s="25"/>
      <c r="G14" s="25" t="s">
        <v>49</v>
      </c>
    </row>
    <row r="15" spans="1:7" ht="15.95" customHeight="1" x14ac:dyDescent="0.25">
      <c r="A15" s="21">
        <f>100000+C15*100+COUNT($B$4:B15)</f>
        <v>101012</v>
      </c>
      <c r="B15" s="21">
        <v>10</v>
      </c>
      <c r="C15" s="21">
        <v>10</v>
      </c>
      <c r="D15" s="21"/>
      <c r="E15" s="21"/>
      <c r="F15" s="25"/>
      <c r="G15" s="25" t="s">
        <v>50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92A8-1EA6-4844-A9BB-C82D4E90864A}">
  <sheetPr>
    <tabColor rgb="FFFFC000"/>
  </sheetPr>
  <dimension ref="A1:E9"/>
  <sheetViews>
    <sheetView showGridLines="0" zoomScaleNormal="100" workbookViewId="0">
      <pane ySplit="3" topLeftCell="A4" activePane="bottomLeft" state="frozen"/>
      <selection activeCell="A14" sqref="A14"/>
      <selection pane="bottomLeft"/>
    </sheetView>
  </sheetViews>
  <sheetFormatPr defaultRowHeight="15.95" customHeight="1" x14ac:dyDescent="0.25"/>
  <cols>
    <col min="1" max="1" width="7.28515625" style="22" bestFit="1" customWidth="1"/>
    <col min="2" max="2" width="23.5703125" style="22" bestFit="1" customWidth="1"/>
    <col min="3" max="3" width="32.85546875" style="22" bestFit="1" customWidth="1"/>
    <col min="4" max="4" width="21.85546875" style="22" customWidth="1"/>
    <col min="5" max="5" width="6.28515625" style="22" bestFit="1" customWidth="1"/>
    <col min="6" max="6" width="14" style="22" customWidth="1"/>
    <col min="7" max="16384" width="9.140625" style="22"/>
  </cols>
  <sheetData>
    <row r="1" spans="1:5" ht="15.95" customHeight="1" x14ac:dyDescent="0.25">
      <c r="A1" s="23" t="s">
        <v>71</v>
      </c>
      <c r="B1" s="23" t="s">
        <v>69</v>
      </c>
      <c r="C1" s="23" t="s">
        <v>73</v>
      </c>
      <c r="D1" s="23" t="s">
        <v>73</v>
      </c>
      <c r="E1" s="23" t="s">
        <v>121</v>
      </c>
    </row>
    <row r="2" spans="1:5" ht="15.95" customHeight="1" x14ac:dyDescent="0.25">
      <c r="A2" s="24" t="s">
        <v>19</v>
      </c>
      <c r="B2" s="24" t="s">
        <v>89</v>
      </c>
      <c r="C2" s="24" t="s">
        <v>97</v>
      </c>
      <c r="D2" s="24" t="s">
        <v>85</v>
      </c>
      <c r="E2" s="24" t="s">
        <v>122</v>
      </c>
    </row>
    <row r="3" spans="1:5" ht="15.95" customHeight="1" x14ac:dyDescent="0.25">
      <c r="A3" s="26" t="s">
        <v>20</v>
      </c>
      <c r="B3" s="26" t="s">
        <v>20</v>
      </c>
      <c r="C3" s="26" t="s">
        <v>22</v>
      </c>
      <c r="D3" s="26" t="s">
        <v>21</v>
      </c>
      <c r="E3" s="26" t="s">
        <v>20</v>
      </c>
    </row>
    <row r="4" spans="1:5" ht="15.95" customHeight="1" x14ac:dyDescent="0.25">
      <c r="A4" s="21">
        <v>1</v>
      </c>
      <c r="B4" s="21">
        <v>1</v>
      </c>
      <c r="C4" s="21" t="str">
        <f>"NAMECARD_CATEGORY_NAME_"&amp;A4</f>
        <v>NAMECARD_CATEGORY_NAME_1</v>
      </c>
      <c r="D4" s="25" t="s">
        <v>51</v>
      </c>
      <c r="E4" s="51">
        <v>1</v>
      </c>
    </row>
    <row r="5" spans="1:5" ht="15.95" customHeight="1" x14ac:dyDescent="0.25">
      <c r="A5" s="21">
        <v>2</v>
      </c>
      <c r="B5" s="21">
        <v>2</v>
      </c>
      <c r="C5" s="21" t="str">
        <f t="shared" ref="C5:C9" si="0">"NAMECARD_CATEGORY_NAME_"&amp;A5</f>
        <v>NAMECARD_CATEGORY_NAME_2</v>
      </c>
      <c r="D5" s="25" t="s">
        <v>52</v>
      </c>
      <c r="E5" s="51">
        <v>2</v>
      </c>
    </row>
    <row r="6" spans="1:5" ht="15.95" customHeight="1" x14ac:dyDescent="0.25">
      <c r="A6" s="21">
        <v>3</v>
      </c>
      <c r="B6" s="21">
        <v>3</v>
      </c>
      <c r="C6" s="21" t="str">
        <f t="shared" si="0"/>
        <v>NAMECARD_CATEGORY_NAME_3</v>
      </c>
      <c r="D6" s="25" t="s">
        <v>72</v>
      </c>
      <c r="E6" s="51">
        <v>3</v>
      </c>
    </row>
    <row r="7" spans="1:5" ht="15.95" customHeight="1" x14ac:dyDescent="0.25">
      <c r="A7" s="21">
        <v>4</v>
      </c>
      <c r="B7" s="21">
        <v>4</v>
      </c>
      <c r="C7" s="21" t="str">
        <f t="shared" si="0"/>
        <v>NAMECARD_CATEGORY_NAME_4</v>
      </c>
      <c r="D7" s="25" t="s">
        <v>53</v>
      </c>
      <c r="E7" s="51">
        <v>4</v>
      </c>
    </row>
    <row r="8" spans="1:5" ht="15.95" customHeight="1" x14ac:dyDescent="0.25">
      <c r="A8" s="21">
        <v>5</v>
      </c>
      <c r="B8" s="21">
        <v>5</v>
      </c>
      <c r="C8" s="21" t="str">
        <f t="shared" si="0"/>
        <v>NAMECARD_CATEGORY_NAME_5</v>
      </c>
      <c r="D8" s="25" t="s">
        <v>54</v>
      </c>
      <c r="E8" s="51">
        <v>5</v>
      </c>
    </row>
    <row r="9" spans="1:5" ht="15.95" customHeight="1" x14ac:dyDescent="0.25">
      <c r="A9" s="21">
        <v>6</v>
      </c>
      <c r="B9" s="21">
        <v>6</v>
      </c>
      <c r="C9" s="21" t="str">
        <f t="shared" si="0"/>
        <v>NAMECARD_CATEGORY_NAME_6</v>
      </c>
      <c r="D9" s="25" t="s">
        <v>55</v>
      </c>
      <c r="E9" s="51">
        <v>6</v>
      </c>
    </row>
  </sheetData>
  <phoneticPr fontId="2" type="noConversion"/>
  <conditionalFormatting sqref="E4:E9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620F-9802-4D52-8426-480E8824F371}">
  <sheetPr>
    <tabColor rgb="FFFFC000"/>
  </sheetPr>
  <dimension ref="A1:F16"/>
  <sheetViews>
    <sheetView showGridLines="0" zoomScaleNormal="100" workbookViewId="0">
      <pane ySplit="3" topLeftCell="A4" activePane="bottomLeft" state="frozen"/>
      <selection activeCell="A14" sqref="A14"/>
      <selection pane="bottomLeft" activeCell="D3" sqref="D3"/>
    </sheetView>
  </sheetViews>
  <sheetFormatPr defaultRowHeight="15.95" customHeight="1" x14ac:dyDescent="0.25"/>
  <cols>
    <col min="1" max="1" width="7.28515625" style="22" bestFit="1" customWidth="1"/>
    <col min="2" max="2" width="19.42578125" style="22" customWidth="1"/>
    <col min="3" max="3" width="17.28515625" style="22" customWidth="1"/>
    <col min="4" max="4" width="18.42578125" style="22" customWidth="1"/>
    <col min="5" max="5" width="28.140625" style="22" bestFit="1" customWidth="1"/>
    <col min="6" max="6" width="6.28515625" style="22" bestFit="1" customWidth="1"/>
    <col min="7" max="16384" width="9.140625" style="22"/>
  </cols>
  <sheetData>
    <row r="1" spans="1:6" ht="15.95" customHeight="1" x14ac:dyDescent="0.25">
      <c r="A1" s="23" t="s">
        <v>71</v>
      </c>
      <c r="B1" s="23" t="s">
        <v>17</v>
      </c>
      <c r="C1" s="23" t="s">
        <v>56</v>
      </c>
      <c r="D1" s="23" t="s">
        <v>57</v>
      </c>
      <c r="E1" s="23" t="s">
        <v>67</v>
      </c>
      <c r="F1" s="23" t="s">
        <v>121</v>
      </c>
    </row>
    <row r="2" spans="1:6" ht="15.95" customHeight="1" x14ac:dyDescent="0.25">
      <c r="A2" s="24" t="s">
        <v>19</v>
      </c>
      <c r="B2" s="24" t="s">
        <v>90</v>
      </c>
      <c r="C2" s="24" t="s">
        <v>98</v>
      </c>
      <c r="D2" s="24" t="s">
        <v>316</v>
      </c>
      <c r="E2" s="24" t="s">
        <v>85</v>
      </c>
      <c r="F2" s="24" t="s">
        <v>122</v>
      </c>
    </row>
    <row r="3" spans="1:6" ht="15.95" customHeight="1" x14ac:dyDescent="0.25">
      <c r="A3" s="26" t="s">
        <v>20</v>
      </c>
      <c r="B3" s="26" t="s">
        <v>20</v>
      </c>
      <c r="C3" s="26" t="s">
        <v>20</v>
      </c>
      <c r="D3" s="26" t="s">
        <v>20</v>
      </c>
      <c r="E3" s="26" t="s">
        <v>37</v>
      </c>
      <c r="F3" s="26" t="s">
        <v>20</v>
      </c>
    </row>
    <row r="4" spans="1:6" ht="15.95" customHeight="1" x14ac:dyDescent="0.25">
      <c r="A4" s="21"/>
      <c r="B4" s="21"/>
      <c r="C4" s="21"/>
      <c r="D4" s="21"/>
      <c r="E4" s="25" t="s">
        <v>39</v>
      </c>
      <c r="F4" s="51">
        <v>1</v>
      </c>
    </row>
    <row r="5" spans="1:6" ht="15.95" customHeight="1" x14ac:dyDescent="0.25">
      <c r="A5" s="21"/>
      <c r="B5" s="21"/>
      <c r="C5" s="21"/>
      <c r="D5" s="21"/>
      <c r="E5" s="25" t="s">
        <v>42</v>
      </c>
      <c r="F5" s="51">
        <v>2</v>
      </c>
    </row>
    <row r="6" spans="1:6" ht="15.95" customHeight="1" x14ac:dyDescent="0.25">
      <c r="A6" s="21"/>
      <c r="B6" s="21"/>
      <c r="C6" s="21"/>
      <c r="D6" s="21"/>
      <c r="E6" s="25" t="s">
        <v>43</v>
      </c>
      <c r="F6" s="51">
        <v>3</v>
      </c>
    </row>
    <row r="7" spans="1:6" ht="15.95" customHeight="1" x14ac:dyDescent="0.25">
      <c r="A7" s="21"/>
      <c r="B7" s="21"/>
      <c r="C7" s="21"/>
      <c r="D7" s="21"/>
      <c r="E7" s="25" t="s">
        <v>44</v>
      </c>
      <c r="F7" s="51">
        <v>4</v>
      </c>
    </row>
    <row r="8" spans="1:6" ht="15.95" customHeight="1" x14ac:dyDescent="0.25">
      <c r="A8" s="21"/>
      <c r="B8" s="21"/>
      <c r="C8" s="21"/>
      <c r="D8" s="21"/>
      <c r="E8" s="25" t="s">
        <v>45</v>
      </c>
      <c r="F8" s="51">
        <v>5</v>
      </c>
    </row>
    <row r="9" spans="1:6" ht="15.95" customHeight="1" x14ac:dyDescent="0.25">
      <c r="A9" s="21"/>
      <c r="B9" s="21"/>
      <c r="C9" s="21"/>
      <c r="D9" s="21"/>
      <c r="E9" s="25" t="s">
        <v>46</v>
      </c>
      <c r="F9" s="51">
        <v>6</v>
      </c>
    </row>
    <row r="10" spans="1:6" ht="15.95" customHeight="1" x14ac:dyDescent="0.25">
      <c r="A10" s="21"/>
      <c r="B10" s="21"/>
      <c r="C10" s="21"/>
      <c r="D10" s="21"/>
      <c r="E10" s="25" t="s">
        <v>47</v>
      </c>
      <c r="F10" s="51">
        <v>7</v>
      </c>
    </row>
    <row r="12" spans="1:6" ht="15.95" customHeight="1" x14ac:dyDescent="0.25">
      <c r="C12" s="22" t="s">
        <v>58</v>
      </c>
    </row>
    <row r="13" spans="1:6" ht="15.95" customHeight="1" x14ac:dyDescent="0.25">
      <c r="C13" s="22" t="s">
        <v>59</v>
      </c>
    </row>
    <row r="14" spans="1:6" ht="15.95" customHeight="1" x14ac:dyDescent="0.25">
      <c r="C14" s="22" t="s">
        <v>60</v>
      </c>
      <c r="D14" s="27" t="s">
        <v>75</v>
      </c>
    </row>
    <row r="15" spans="1:6" ht="15.95" customHeight="1" x14ac:dyDescent="0.25">
      <c r="C15" s="22" t="s">
        <v>74</v>
      </c>
    </row>
    <row r="16" spans="1:6" ht="15.95" customHeight="1" x14ac:dyDescent="0.25">
      <c r="C16" s="22" t="s">
        <v>61</v>
      </c>
    </row>
  </sheetData>
  <phoneticPr fontId="2" type="noConversion"/>
  <conditionalFormatting sqref="F4:F10">
    <cfRule type="duplicateValues" dxfId="2" priority="1"/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D7AC-C20E-4A75-AAA8-71DF1D93BC7C}">
  <sheetPr>
    <tabColor rgb="FFFFC000"/>
  </sheetPr>
  <dimension ref="A1:G12"/>
  <sheetViews>
    <sheetView showGridLines="0" zoomScaleNormal="100" workbookViewId="0">
      <pane ySplit="3" topLeftCell="A4" activePane="bottomLeft" state="frozen"/>
      <selection activeCell="A14" sqref="A14"/>
      <selection pane="bottomLeft"/>
    </sheetView>
  </sheetViews>
  <sheetFormatPr defaultRowHeight="15.95" customHeight="1" x14ac:dyDescent="0.25"/>
  <cols>
    <col min="1" max="1" width="7.28515625" style="22" bestFit="1" customWidth="1"/>
    <col min="2" max="2" width="16.85546875" style="22" customWidth="1"/>
    <col min="3" max="3" width="17" style="22" bestFit="1" customWidth="1"/>
    <col min="4" max="4" width="13.5703125" style="22" customWidth="1"/>
    <col min="5" max="5" width="10.28515625" style="22" customWidth="1"/>
    <col min="6" max="6" width="28.140625" style="22" bestFit="1" customWidth="1"/>
    <col min="7" max="7" width="6.28515625" style="22" bestFit="1" customWidth="1"/>
    <col min="8" max="16384" width="9.140625" style="22"/>
  </cols>
  <sheetData>
    <row r="1" spans="1:7" ht="15.95" customHeight="1" x14ac:dyDescent="0.25">
      <c r="A1" s="23" t="s">
        <v>71</v>
      </c>
      <c r="B1" s="23" t="s">
        <v>18</v>
      </c>
      <c r="C1" s="23" t="s">
        <v>62</v>
      </c>
      <c r="D1" s="23" t="s">
        <v>63</v>
      </c>
      <c r="E1" s="23" t="s">
        <v>64</v>
      </c>
      <c r="F1" s="23" t="s">
        <v>67</v>
      </c>
      <c r="G1" s="23" t="s">
        <v>121</v>
      </c>
    </row>
    <row r="2" spans="1:7" ht="15.95" customHeight="1" x14ac:dyDescent="0.25">
      <c r="A2" s="24" t="s">
        <v>19</v>
      </c>
      <c r="B2" s="24" t="s">
        <v>92</v>
      </c>
      <c r="C2" s="24" t="s">
        <v>99</v>
      </c>
      <c r="D2" s="24" t="s">
        <v>100</v>
      </c>
      <c r="E2" s="24" t="s">
        <v>96</v>
      </c>
      <c r="F2" s="24" t="s">
        <v>85</v>
      </c>
      <c r="G2" s="24" t="s">
        <v>122</v>
      </c>
    </row>
    <row r="3" spans="1:7" ht="15.95" customHeight="1" x14ac:dyDescent="0.25">
      <c r="A3" s="26" t="s">
        <v>20</v>
      </c>
      <c r="B3" s="26" t="s">
        <v>20</v>
      </c>
      <c r="C3" s="26" t="s">
        <v>20</v>
      </c>
      <c r="D3" s="26" t="s">
        <v>20</v>
      </c>
      <c r="E3" s="26" t="s">
        <v>20</v>
      </c>
      <c r="F3" s="26" t="s">
        <v>37</v>
      </c>
      <c r="G3" s="26" t="s">
        <v>20</v>
      </c>
    </row>
    <row r="4" spans="1:7" ht="15.95" customHeight="1" x14ac:dyDescent="0.25">
      <c r="A4" s="21"/>
      <c r="B4" s="21"/>
      <c r="C4" s="21"/>
      <c r="D4" s="21"/>
      <c r="E4" s="21"/>
      <c r="F4" s="25" t="s">
        <v>39</v>
      </c>
      <c r="G4" s="51">
        <v>1</v>
      </c>
    </row>
    <row r="5" spans="1:7" ht="15.95" customHeight="1" x14ac:dyDescent="0.25">
      <c r="A5" s="21"/>
      <c r="B5" s="21"/>
      <c r="C5" s="21"/>
      <c r="D5" s="21"/>
      <c r="E5" s="21"/>
      <c r="F5" s="25" t="s">
        <v>42</v>
      </c>
      <c r="G5" s="51">
        <v>2</v>
      </c>
    </row>
    <row r="6" spans="1:7" ht="15.95" customHeight="1" x14ac:dyDescent="0.25">
      <c r="A6" s="21"/>
      <c r="B6" s="21"/>
      <c r="C6" s="21"/>
      <c r="D6" s="21"/>
      <c r="E6" s="21"/>
      <c r="F6" s="25" t="s">
        <v>43</v>
      </c>
      <c r="G6" s="51">
        <v>3</v>
      </c>
    </row>
    <row r="7" spans="1:7" ht="15.95" customHeight="1" x14ac:dyDescent="0.25">
      <c r="A7" s="21"/>
      <c r="B7" s="21"/>
      <c r="C7" s="21"/>
      <c r="D7" s="21"/>
      <c r="E7" s="21"/>
      <c r="F7" s="25" t="s">
        <v>44</v>
      </c>
      <c r="G7" s="51">
        <v>4</v>
      </c>
    </row>
    <row r="8" spans="1:7" ht="15.95" customHeight="1" x14ac:dyDescent="0.25">
      <c r="A8" s="21"/>
      <c r="B8" s="21"/>
      <c r="C8" s="21"/>
      <c r="D8" s="21"/>
      <c r="E8" s="21"/>
      <c r="F8" s="25" t="s">
        <v>45</v>
      </c>
      <c r="G8" s="51">
        <v>5</v>
      </c>
    </row>
    <row r="9" spans="1:7" ht="15.95" customHeight="1" x14ac:dyDescent="0.25">
      <c r="A9" s="21"/>
      <c r="B9" s="21"/>
      <c r="C9" s="21"/>
      <c r="D9" s="21"/>
      <c r="E9" s="21"/>
      <c r="F9" s="25" t="s">
        <v>46</v>
      </c>
      <c r="G9" s="51">
        <v>6</v>
      </c>
    </row>
    <row r="10" spans="1:7" ht="15.95" customHeight="1" x14ac:dyDescent="0.25">
      <c r="A10" s="21"/>
      <c r="B10" s="21"/>
      <c r="C10" s="21"/>
      <c r="D10" s="21"/>
      <c r="E10" s="21"/>
      <c r="F10" s="25" t="s">
        <v>47</v>
      </c>
      <c r="G10" s="51">
        <v>7</v>
      </c>
    </row>
    <row r="12" spans="1:7" ht="15.95" customHeight="1" x14ac:dyDescent="0.25">
      <c r="C12" s="22" t="s">
        <v>76</v>
      </c>
    </row>
  </sheetData>
  <phoneticPr fontId="2" type="noConversion"/>
  <conditionalFormatting sqref="G4:G10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519E-6D84-4328-B098-42C11F068CB6}">
  <sheetPr>
    <tabColor rgb="FFFFC000"/>
  </sheetPr>
  <dimension ref="A1:F27"/>
  <sheetViews>
    <sheetView showGridLines="0" zoomScaleNormal="100" workbookViewId="0">
      <pane ySplit="3" topLeftCell="A4" activePane="bottomLeft" state="frozen"/>
      <selection activeCell="A14" sqref="A14"/>
      <selection pane="bottomLeft" activeCell="D2" sqref="D2"/>
    </sheetView>
  </sheetViews>
  <sheetFormatPr defaultRowHeight="15.95" customHeight="1" x14ac:dyDescent="0.25"/>
  <cols>
    <col min="1" max="1" width="8.7109375" style="22" bestFit="1" customWidth="1"/>
    <col min="2" max="2" width="20" style="22" bestFit="1" customWidth="1"/>
    <col min="3" max="3" width="14.85546875" style="22" customWidth="1"/>
    <col min="4" max="4" width="17.85546875" style="22" bestFit="1" customWidth="1"/>
    <col min="5" max="6" width="19.7109375" style="22" bestFit="1" customWidth="1"/>
    <col min="7" max="7" width="14" style="22" customWidth="1"/>
    <col min="8" max="16384" width="9.140625" style="22"/>
  </cols>
  <sheetData>
    <row r="1" spans="1:6" ht="15.95" customHeight="1" x14ac:dyDescent="0.25">
      <c r="A1" s="23" t="s">
        <v>71</v>
      </c>
      <c r="B1" s="23" t="s">
        <v>77</v>
      </c>
      <c r="C1" s="23" t="s">
        <v>65</v>
      </c>
      <c r="D1" s="23" t="s">
        <v>66</v>
      </c>
      <c r="E1" s="23" t="s">
        <v>79</v>
      </c>
      <c r="F1" s="23" t="s">
        <v>80</v>
      </c>
    </row>
    <row r="2" spans="1:6" ht="15.95" customHeight="1" x14ac:dyDescent="0.25">
      <c r="A2" s="24" t="s">
        <v>19</v>
      </c>
      <c r="B2" s="24" t="s">
        <v>102</v>
      </c>
      <c r="C2" s="28" t="s">
        <v>106</v>
      </c>
      <c r="D2" s="28" t="s">
        <v>104</v>
      </c>
      <c r="E2" s="28" t="s">
        <v>87</v>
      </c>
      <c r="F2" s="28" t="s">
        <v>92</v>
      </c>
    </row>
    <row r="3" spans="1:6" ht="15.95" customHeight="1" x14ac:dyDescent="0.25">
      <c r="A3" s="26" t="s">
        <v>20</v>
      </c>
      <c r="B3" s="26" t="s">
        <v>20</v>
      </c>
      <c r="C3" s="29" t="s">
        <v>78</v>
      </c>
      <c r="D3" s="29" t="s">
        <v>78</v>
      </c>
      <c r="E3" s="26" t="s">
        <v>20</v>
      </c>
      <c r="F3" s="26" t="s">
        <v>20</v>
      </c>
    </row>
    <row r="4" spans="1:6" ht="15.95" customHeight="1" x14ac:dyDescent="0.25">
      <c r="A4" s="21">
        <v>1</v>
      </c>
      <c r="B4" s="21">
        <v>1</v>
      </c>
      <c r="C4" s="21"/>
      <c r="D4" s="21"/>
      <c r="E4" s="21"/>
      <c r="F4" s="21"/>
    </row>
    <row r="5" spans="1:6" ht="15.95" customHeight="1" x14ac:dyDescent="0.25">
      <c r="A5" s="21">
        <v>2</v>
      </c>
      <c r="B5" s="21">
        <v>2</v>
      </c>
      <c r="C5" s="21"/>
      <c r="D5" s="21"/>
      <c r="E5" s="21"/>
      <c r="F5" s="21"/>
    </row>
    <row r="6" spans="1:6" ht="15.95" customHeight="1" x14ac:dyDescent="0.25">
      <c r="A6" s="21">
        <v>3</v>
      </c>
      <c r="B6" s="21">
        <v>3</v>
      </c>
      <c r="C6" s="21"/>
      <c r="D6" s="21"/>
      <c r="E6" s="21"/>
      <c r="F6" s="21"/>
    </row>
    <row r="7" spans="1:6" ht="15.95" customHeight="1" x14ac:dyDescent="0.25">
      <c r="A7" s="21">
        <v>4</v>
      </c>
      <c r="B7" s="21">
        <v>4</v>
      </c>
      <c r="C7" s="21"/>
      <c r="D7" s="21"/>
      <c r="E7" s="21"/>
      <c r="F7" s="21"/>
    </row>
    <row r="8" spans="1:6" ht="15.95" customHeight="1" x14ac:dyDescent="0.25">
      <c r="A8" s="21">
        <v>5</v>
      </c>
      <c r="B8" s="21">
        <v>5</v>
      </c>
      <c r="C8" s="21"/>
      <c r="D8" s="21"/>
      <c r="E8" s="21"/>
      <c r="F8" s="21"/>
    </row>
    <row r="9" spans="1:6" ht="15.95" customHeight="1" x14ac:dyDescent="0.25">
      <c r="A9" s="21">
        <v>6</v>
      </c>
      <c r="B9" s="21">
        <v>6</v>
      </c>
      <c r="C9" s="21"/>
      <c r="D9" s="21"/>
      <c r="E9" s="21"/>
      <c r="F9" s="21"/>
    </row>
    <row r="10" spans="1:6" ht="15.95" customHeight="1" x14ac:dyDescent="0.25">
      <c r="A10" s="21">
        <v>7</v>
      </c>
      <c r="B10" s="21">
        <v>7</v>
      </c>
      <c r="C10" s="21"/>
      <c r="D10" s="21"/>
      <c r="E10" s="21"/>
      <c r="F10" s="21"/>
    </row>
    <row r="11" spans="1:6" ht="15.95" customHeight="1" x14ac:dyDescent="0.25">
      <c r="A11" s="21">
        <v>8</v>
      </c>
      <c r="B11" s="21">
        <v>8</v>
      </c>
      <c r="C11" s="21"/>
      <c r="D11" s="21"/>
      <c r="E11" s="21"/>
      <c r="F11" s="21"/>
    </row>
    <row r="12" spans="1:6" ht="15.95" customHeight="1" x14ac:dyDescent="0.25">
      <c r="A12" s="21">
        <v>9</v>
      </c>
      <c r="B12" s="21">
        <v>9</v>
      </c>
      <c r="C12" s="21"/>
      <c r="D12" s="21"/>
      <c r="E12" s="21"/>
      <c r="F12" s="21"/>
    </row>
    <row r="13" spans="1:6" ht="15.95" customHeight="1" x14ac:dyDescent="0.25">
      <c r="A13" s="21">
        <v>10</v>
      </c>
      <c r="B13" s="21">
        <v>10</v>
      </c>
      <c r="C13" s="21"/>
      <c r="D13" s="21"/>
      <c r="E13" s="21"/>
      <c r="F13" s="21"/>
    </row>
    <row r="14" spans="1:6" ht="15.95" customHeight="1" x14ac:dyDescent="0.25">
      <c r="A14" s="21">
        <v>11</v>
      </c>
      <c r="B14" s="21">
        <v>11</v>
      </c>
      <c r="C14" s="21"/>
      <c r="D14" s="21"/>
      <c r="E14" s="21"/>
      <c r="F14" s="21"/>
    </row>
    <row r="15" spans="1:6" ht="15.95" customHeight="1" x14ac:dyDescent="0.25">
      <c r="A15" s="21">
        <v>12</v>
      </c>
      <c r="B15" s="21">
        <v>12</v>
      </c>
      <c r="C15" s="21"/>
      <c r="D15" s="21"/>
      <c r="E15" s="21"/>
      <c r="F15" s="21"/>
    </row>
    <row r="16" spans="1:6" ht="15.95" customHeight="1" x14ac:dyDescent="0.25">
      <c r="A16" s="21">
        <v>13</v>
      </c>
      <c r="B16" s="21">
        <v>13</v>
      </c>
      <c r="C16" s="21"/>
      <c r="D16" s="21"/>
      <c r="E16" s="21"/>
      <c r="F16" s="21"/>
    </row>
    <row r="17" spans="1:6" ht="15.95" customHeight="1" x14ac:dyDescent="0.25">
      <c r="A17" s="21">
        <v>14</v>
      </c>
      <c r="B17" s="21">
        <v>14</v>
      </c>
      <c r="C17" s="21"/>
      <c r="D17" s="21"/>
      <c r="E17" s="21"/>
      <c r="F17" s="21"/>
    </row>
    <row r="18" spans="1:6" ht="15.95" customHeight="1" x14ac:dyDescent="0.25">
      <c r="A18" s="21">
        <v>15</v>
      </c>
      <c r="B18" s="21">
        <v>15</v>
      </c>
      <c r="C18" s="21"/>
      <c r="D18" s="21"/>
      <c r="E18" s="21"/>
      <c r="F18" s="21"/>
    </row>
    <row r="19" spans="1:6" ht="15.95" customHeight="1" x14ac:dyDescent="0.25">
      <c r="A19" s="21">
        <v>16</v>
      </c>
      <c r="B19" s="21">
        <v>16</v>
      </c>
      <c r="C19" s="21"/>
      <c r="D19" s="21"/>
      <c r="E19" s="21"/>
      <c r="F19" s="21"/>
    </row>
    <row r="20" spans="1:6" ht="15.95" customHeight="1" x14ac:dyDescent="0.25">
      <c r="A20" s="21">
        <v>17</v>
      </c>
      <c r="B20" s="21">
        <v>17</v>
      </c>
      <c r="C20" s="21"/>
      <c r="D20" s="21"/>
      <c r="E20" s="21"/>
      <c r="F20" s="21"/>
    </row>
    <row r="21" spans="1:6" ht="15.95" customHeight="1" x14ac:dyDescent="0.25">
      <c r="A21" s="21">
        <v>18</v>
      </c>
      <c r="B21" s="21">
        <v>18</v>
      </c>
      <c r="C21" s="21"/>
      <c r="D21" s="21"/>
      <c r="E21" s="21"/>
      <c r="F21" s="21"/>
    </row>
    <row r="22" spans="1:6" ht="15.95" customHeight="1" x14ac:dyDescent="0.25">
      <c r="A22" s="21">
        <v>19</v>
      </c>
      <c r="B22" s="21">
        <v>19</v>
      </c>
      <c r="C22" s="21"/>
      <c r="D22" s="21"/>
      <c r="E22" s="21"/>
      <c r="F22" s="21"/>
    </row>
    <row r="23" spans="1:6" ht="15.95" customHeight="1" x14ac:dyDescent="0.25">
      <c r="A23" s="21">
        <v>20</v>
      </c>
      <c r="B23" s="21">
        <v>20</v>
      </c>
      <c r="C23" s="21"/>
      <c r="D23" s="21"/>
      <c r="E23" s="21"/>
      <c r="F23" s="21"/>
    </row>
    <row r="24" spans="1:6" ht="15.95" customHeight="1" x14ac:dyDescent="0.25">
      <c r="A24" s="21">
        <v>21</v>
      </c>
      <c r="B24" s="21">
        <v>21</v>
      </c>
      <c r="C24" s="21"/>
      <c r="D24" s="21"/>
      <c r="E24" s="21"/>
      <c r="F24" s="21"/>
    </row>
    <row r="25" spans="1:6" ht="15.95" customHeight="1" x14ac:dyDescent="0.25">
      <c r="A25" s="21">
        <v>22</v>
      </c>
      <c r="B25" s="21">
        <v>22</v>
      </c>
      <c r="C25" s="21"/>
      <c r="D25" s="21"/>
      <c r="E25" s="21"/>
      <c r="F25" s="21"/>
    </row>
    <row r="26" spans="1:6" ht="15.95" customHeight="1" x14ac:dyDescent="0.25">
      <c r="A26" s="21">
        <v>23</v>
      </c>
      <c r="B26" s="21">
        <v>23</v>
      </c>
      <c r="C26" s="21"/>
      <c r="D26" s="21"/>
      <c r="E26" s="21"/>
      <c r="F26" s="21"/>
    </row>
    <row r="27" spans="1:6" ht="15.95" customHeight="1" x14ac:dyDescent="0.25">
      <c r="A27" s="21">
        <v>24</v>
      </c>
      <c r="B27" s="21">
        <v>24</v>
      </c>
      <c r="C27" s="21"/>
      <c r="D27" s="21"/>
      <c r="E27" s="21"/>
      <c r="F27" s="21"/>
    </row>
  </sheetData>
  <phoneticPr fontId="2" type="noConversion"/>
  <conditionalFormatting sqref="C2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BBF8-ECA6-4D43-99AB-46999350F369}">
  <sheetPr>
    <tabColor rgb="FFFFC000"/>
  </sheetPr>
  <dimension ref="A1:B26"/>
  <sheetViews>
    <sheetView showGridLines="0" zoomScaleNormal="100" workbookViewId="0">
      <pane ySplit="2" topLeftCell="A3" activePane="bottomLeft" state="frozen"/>
      <selection activeCell="A14" sqref="A14"/>
      <selection pane="bottomLeft"/>
    </sheetView>
  </sheetViews>
  <sheetFormatPr defaultRowHeight="15.95" customHeight="1" x14ac:dyDescent="0.25"/>
  <cols>
    <col min="1" max="1" width="42.5703125" style="22" customWidth="1"/>
    <col min="2" max="2" width="41.42578125" style="22" customWidth="1"/>
    <col min="3" max="3" width="14" style="22" customWidth="1"/>
    <col min="4" max="16384" width="9.140625" style="22"/>
  </cols>
  <sheetData>
    <row r="1" spans="1:2" ht="15.95" customHeight="1" x14ac:dyDescent="0.25">
      <c r="A1" s="48" t="s">
        <v>118</v>
      </c>
      <c r="B1" s="48" t="s">
        <v>119</v>
      </c>
    </row>
    <row r="2" spans="1:2" ht="15.95" customHeight="1" x14ac:dyDescent="0.25">
      <c r="A2" s="49" t="s">
        <v>22</v>
      </c>
      <c r="B2" s="49" t="s">
        <v>22</v>
      </c>
    </row>
    <row r="3" spans="1:2" ht="15.95" customHeight="1" x14ac:dyDescent="0.25">
      <c r="A3" s="50"/>
      <c r="B3" s="50"/>
    </row>
    <row r="4" spans="1:2" ht="15.95" customHeight="1" x14ac:dyDescent="0.25">
      <c r="A4" s="50"/>
      <c r="B4" s="50"/>
    </row>
    <row r="5" spans="1:2" ht="15.95" customHeight="1" x14ac:dyDescent="0.25">
      <c r="A5" s="50"/>
      <c r="B5" s="50"/>
    </row>
    <row r="6" spans="1:2" ht="15.95" customHeight="1" x14ac:dyDescent="0.25">
      <c r="A6" s="50"/>
      <c r="B6" s="50"/>
    </row>
    <row r="7" spans="1:2" ht="15.95" customHeight="1" x14ac:dyDescent="0.25">
      <c r="A7" s="50"/>
      <c r="B7" s="50"/>
    </row>
    <row r="8" spans="1:2" ht="15.95" customHeight="1" x14ac:dyDescent="0.25">
      <c r="A8" s="50"/>
      <c r="B8" s="50"/>
    </row>
    <row r="9" spans="1:2" ht="15.95" customHeight="1" x14ac:dyDescent="0.25">
      <c r="A9" s="50"/>
      <c r="B9" s="50"/>
    </row>
    <row r="10" spans="1:2" ht="15.95" customHeight="1" x14ac:dyDescent="0.25">
      <c r="A10" s="50"/>
      <c r="B10" s="50"/>
    </row>
    <row r="11" spans="1:2" ht="15.95" customHeight="1" x14ac:dyDescent="0.25">
      <c r="A11" s="50"/>
      <c r="B11" s="50"/>
    </row>
    <row r="12" spans="1:2" ht="15.95" customHeight="1" x14ac:dyDescent="0.25">
      <c r="A12" s="50"/>
      <c r="B12" s="50"/>
    </row>
    <row r="13" spans="1:2" ht="15.95" customHeight="1" x14ac:dyDescent="0.25">
      <c r="A13" s="50"/>
      <c r="B13" s="50"/>
    </row>
    <row r="14" spans="1:2" ht="15.95" customHeight="1" x14ac:dyDescent="0.25">
      <c r="A14" s="50"/>
      <c r="B14" s="50"/>
    </row>
    <row r="15" spans="1:2" ht="15.95" customHeight="1" x14ac:dyDescent="0.25">
      <c r="A15" s="50"/>
      <c r="B15" s="50"/>
    </row>
    <row r="16" spans="1:2" ht="15.95" customHeight="1" x14ac:dyDescent="0.25">
      <c r="A16" s="50"/>
      <c r="B16" s="50"/>
    </row>
    <row r="17" spans="1:2" ht="15.95" customHeight="1" x14ac:dyDescent="0.25">
      <c r="A17" s="50"/>
      <c r="B17" s="50"/>
    </row>
    <row r="18" spans="1:2" ht="15.95" customHeight="1" x14ac:dyDescent="0.25">
      <c r="A18" s="50"/>
      <c r="B18" s="50"/>
    </row>
    <row r="19" spans="1:2" ht="15.95" customHeight="1" x14ac:dyDescent="0.25">
      <c r="A19" s="50"/>
      <c r="B19" s="50"/>
    </row>
    <row r="20" spans="1:2" ht="15.95" customHeight="1" x14ac:dyDescent="0.25">
      <c r="A20" s="50"/>
      <c r="B20" s="50"/>
    </row>
    <row r="21" spans="1:2" ht="15.95" customHeight="1" x14ac:dyDescent="0.25">
      <c r="A21" s="50"/>
      <c r="B21" s="50"/>
    </row>
    <row r="22" spans="1:2" ht="15.95" customHeight="1" x14ac:dyDescent="0.25">
      <c r="A22" s="50"/>
      <c r="B22" s="50"/>
    </row>
    <row r="23" spans="1:2" ht="15.95" customHeight="1" x14ac:dyDescent="0.25">
      <c r="A23" s="50"/>
      <c r="B23" s="50"/>
    </row>
    <row r="24" spans="1:2" ht="15.95" customHeight="1" x14ac:dyDescent="0.25">
      <c r="A24" s="50"/>
      <c r="B24" s="50"/>
    </row>
    <row r="25" spans="1:2" ht="15.95" customHeight="1" x14ac:dyDescent="0.25">
      <c r="A25" s="50"/>
      <c r="B25" s="50"/>
    </row>
    <row r="26" spans="1:2" ht="15.95" customHeight="1" x14ac:dyDescent="0.25">
      <c r="A26" s="50"/>
      <c r="B26" s="50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4</vt:i4>
      </vt:variant>
    </vt:vector>
  </HeadingPairs>
  <TitlesOfParts>
    <vt:vector size="14" baseType="lpstr">
      <vt:lpstr>INFO</vt:lpstr>
      <vt:lpstr>UI_설명</vt:lpstr>
      <vt:lpstr>DATA</vt:lpstr>
      <vt:lpstr>NAMECARD</vt:lpstr>
      <vt:lpstr>OPTION</vt:lpstr>
      <vt:lpstr>NAMECARD_CATEGORY</vt:lpstr>
      <vt:lpstr>CONDITION</vt:lpstr>
      <vt:lpstr>REWARD</vt:lpstr>
      <vt:lpstr>NAMECARD_GRADE</vt:lpstr>
      <vt:lpstr>STRING</vt:lpstr>
      <vt:lpstr>명함_목록</vt:lpstr>
      <vt:lpstr>명함_상세</vt:lpstr>
      <vt:lpstr>명함등급_명함카테고리</vt:lpstr>
      <vt:lpstr>상단_UI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seyeon park</dc:creator>
  <cp:lastModifiedBy>seyeon park</cp:lastModifiedBy>
  <dcterms:created xsi:type="dcterms:W3CDTF">2025-09-02T02:20:56Z</dcterms:created>
  <dcterms:modified xsi:type="dcterms:W3CDTF">2026-03-11T05:52:23Z</dcterms:modified>
</cp:coreProperties>
</file>
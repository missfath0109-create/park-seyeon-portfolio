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과제\역기획서_블루\"/>
    </mc:Choice>
  </mc:AlternateContent>
  <xr:revisionPtr revIDLastSave="0" documentId="13_ncr:1_{FDA08291-5880-4E53-9CDC-50314FA1A062}" xr6:coauthVersionLast="47" xr6:coauthVersionMax="47" xr10:uidLastSave="{00000000-0000-0000-0000-000000000000}"/>
  <bookViews>
    <workbookView xWindow="28680" yWindow="-120" windowWidth="29040" windowHeight="15720" tabRatio="869" xr2:uid="{F266BB9B-099D-44B2-B58F-558AC555306A}"/>
  </bookViews>
  <sheets>
    <sheet name="ID 카드 커스텀 대회" sheetId="9" r:id="rId1"/>
    <sheet name="COMMON" sheetId="19" r:id="rId2"/>
    <sheet name="SEASON" sheetId="12" r:id="rId3"/>
    <sheet name="RANK_REWARD" sheetId="13" r:id="rId4"/>
    <sheet name="VOTE_REWARD" sheetId="20" r:id="rId5"/>
    <sheet name="RESOURCE_LIST" sheetId="16" r:id="rId6"/>
    <sheet name="STRING" sheetId="22" r:id="rId7"/>
    <sheet name="ITEM" sheetId="15" r:id="rId8"/>
    <sheet name="STUDENT" sheetId="21" r:id="rId9"/>
  </sheets>
  <externalReferences>
    <externalReference r:id="rId10"/>
  </externalReferences>
  <definedNames>
    <definedName name="ID규칙_기본능력치그룹_단위">[1]INDEX!$L$39</definedName>
    <definedName name="ID규칙_대사_그룹_단위">[1]INDEX!$L$231</definedName>
    <definedName name="ID규칙_대상_장비_아이디_단위">[1]INDEX!$L$471</definedName>
    <definedName name="ID규칙_등급_단위">[1]INDEX!$L$159</definedName>
    <definedName name="ID규칙_사용학생_아이디_단위">[1]INDEX!$L$5</definedName>
    <definedName name="ID규칙_스테이지_난이도_단위">[1]INDEX!$L$544</definedName>
    <definedName name="ID규칙_스테이지_아이디_단위">[1]INDEX!$L$543</definedName>
    <definedName name="ID규칙_스테이지_챕터_단위">[1]INDEX!$L$545</definedName>
    <definedName name="ID규칙_슬롯_단위">[1]INDEX!$L$393</definedName>
    <definedName name="ID규칙_아이템_구분_단위">[1]INDEX!$L$562</definedName>
    <definedName name="ID규칙_아이템_타입_단위">[1]INDEX!$L$563</definedName>
    <definedName name="ID규칙_애용품_강화_스킬_그룹_단위">[1]INDEX!$L$340</definedName>
    <definedName name="ID규칙_애용품_그룹_단위">[1]INDEX!$L$283</definedName>
    <definedName name="ID규칙_애용품_아이디_단위">[1]INDEX!$L$282</definedName>
    <definedName name="ID규칙_애용품_티어_단위">[1]INDEX!$L$283</definedName>
    <definedName name="ID규칙_장비_아이디_단위">[1]INDEX!$L$392</definedName>
    <definedName name="ID규칙_티어_단위">[1]INDEX!$L$394</definedName>
    <definedName name="ID규칙_학생_등급_단위">[1]INDEX!$L$183</definedName>
    <definedName name="ID규칙_학생_상세_역할_단위">[1]INDEX!$L$182</definedName>
    <definedName name="ID규칙_학생_역할_단위">[1]INDEX!$L$181</definedName>
    <definedName name="ID규칙_한계_해방_그룹_단위">[1]INDEX!$L$67</definedName>
    <definedName name="ID규칙_획득처_그룹_단위">[1]INDEX!$L$502</definedName>
    <definedName name="MAIN_STATS_TYPE">[1]INDEX!$B$448:$C$464</definedName>
    <definedName name="SKILL_TYPE">[1]INDEX!$B$107:$C$128</definedName>
    <definedName name="SPEECH_MAIN_TYPE">[1]INDEX!$B$245:$C$252</definedName>
    <definedName name="SPEECH_SUB_TYPE">[1]INDEX!$F$245:$G$275</definedName>
    <definedName name="STAGE_DIFFICULTY">[1]INDEX!$B$554:$C$555</definedName>
    <definedName name="STATS_TYPE">[1]INDEX!$B$58:$C$60</definedName>
    <definedName name="UNIQUE_CONDITION_TYPE">[1]INDEX!$B$364:$C$371</definedName>
    <definedName name="UNIQUE_OPTION_TYPE">[1]INDEX!$F$364:$G$385</definedName>
    <definedName name="UNIQUE_SUB_OPTION_TYPE">[1]INDEX!$F$324:$G$333</definedName>
    <definedName name="링크_ITEM">ITEM!$A$1</definedName>
    <definedName name="링크_SEASON">SEASON!$A$1</definedName>
    <definedName name="링크_STUDENT">STUDENT!$A$1</definedName>
    <definedName name="링크_리소스_UI">'ID 카드 커스텀 대회'!$B$335:$AS$357</definedName>
    <definedName name="링크_투표달성보상">VOTE_REWARD!$A$1</definedName>
    <definedName name="상성_강화_아이디_단위">[1]INDEX!$L$135</definedName>
    <definedName name="상성_강화_장소_타입">[1]INDEX!$B$147:$C$149</definedName>
    <definedName name="상성_등급_단위">[1]INDEX!$F$216:$G$221</definedName>
    <definedName name="스킬_강화_그룹_단위">[1]INDEX!$L$92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9" i="21" l="1"/>
  <c r="M99" i="21"/>
  <c r="A99" i="21"/>
  <c r="P99" i="21" s="1"/>
  <c r="N98" i="21"/>
  <c r="M98" i="21"/>
  <c r="A98" i="21"/>
  <c r="N97" i="21"/>
  <c r="M97" i="21"/>
  <c r="A97" i="21"/>
  <c r="P97" i="21" s="1"/>
  <c r="N96" i="21"/>
  <c r="M96" i="21"/>
  <c r="A96" i="21"/>
  <c r="N95" i="21"/>
  <c r="M95" i="21"/>
  <c r="A95" i="21"/>
  <c r="O95" i="21" s="1"/>
  <c r="N94" i="21"/>
  <c r="M94" i="21"/>
  <c r="A94" i="21"/>
  <c r="N93" i="21"/>
  <c r="M93" i="21"/>
  <c r="A93" i="21"/>
  <c r="P93" i="21" s="1"/>
  <c r="N92" i="21"/>
  <c r="M92" i="21"/>
  <c r="A92" i="21"/>
  <c r="N91" i="21"/>
  <c r="M91" i="21"/>
  <c r="A91" i="21"/>
  <c r="N90" i="21"/>
  <c r="M90" i="21"/>
  <c r="A90" i="21"/>
  <c r="N89" i="21"/>
  <c r="M89" i="21"/>
  <c r="A89" i="21"/>
  <c r="O89" i="21" s="1"/>
  <c r="N88" i="21"/>
  <c r="M88" i="21"/>
  <c r="A88" i="21"/>
  <c r="N87" i="21"/>
  <c r="M87" i="21"/>
  <c r="A87" i="21"/>
  <c r="P87" i="21" s="1"/>
  <c r="N86" i="21"/>
  <c r="M86" i="21"/>
  <c r="A86" i="21"/>
  <c r="O85" i="21"/>
  <c r="N85" i="21"/>
  <c r="M85" i="21"/>
  <c r="A85" i="21"/>
  <c r="P85" i="21" s="1"/>
  <c r="N84" i="21"/>
  <c r="M84" i="21"/>
  <c r="A84" i="21"/>
  <c r="N83" i="21"/>
  <c r="M83" i="21"/>
  <c r="A83" i="21"/>
  <c r="O83" i="21" s="1"/>
  <c r="N82" i="21"/>
  <c r="M82" i="21"/>
  <c r="A82" i="21"/>
  <c r="N81" i="21"/>
  <c r="M81" i="21"/>
  <c r="A81" i="21"/>
  <c r="P81" i="21" s="1"/>
  <c r="N80" i="21"/>
  <c r="M80" i="21"/>
  <c r="A80" i="21"/>
  <c r="O80" i="21" s="1"/>
  <c r="N79" i="21"/>
  <c r="M79" i="21"/>
  <c r="A79" i="21"/>
  <c r="P79" i="21" s="1"/>
  <c r="N78" i="21"/>
  <c r="M78" i="21"/>
  <c r="A78" i="21"/>
  <c r="N77" i="21"/>
  <c r="M77" i="21"/>
  <c r="A77" i="21"/>
  <c r="O77" i="21" s="1"/>
  <c r="N76" i="21"/>
  <c r="M76" i="21"/>
  <c r="A76" i="21"/>
  <c r="N75" i="21"/>
  <c r="M75" i="21"/>
  <c r="A75" i="21"/>
  <c r="P75" i="21" s="1"/>
  <c r="N74" i="21"/>
  <c r="M74" i="21"/>
  <c r="A74" i="21"/>
  <c r="P74" i="21" s="1"/>
  <c r="N73" i="21"/>
  <c r="M73" i="21"/>
  <c r="A73" i="21"/>
  <c r="P73" i="21" s="1"/>
  <c r="N72" i="21"/>
  <c r="M72" i="21"/>
  <c r="A72" i="21"/>
  <c r="N71" i="21"/>
  <c r="M71" i="21"/>
  <c r="A71" i="21"/>
  <c r="O71" i="21" s="1"/>
  <c r="N70" i="21"/>
  <c r="M70" i="21"/>
  <c r="A70" i="21"/>
  <c r="O69" i="21"/>
  <c r="N69" i="21"/>
  <c r="M69" i="21"/>
  <c r="A69" i="21"/>
  <c r="P69" i="21" s="1"/>
  <c r="N68" i="21"/>
  <c r="M68" i="21"/>
  <c r="A68" i="21"/>
  <c r="N67" i="21"/>
  <c r="M67" i="21"/>
  <c r="A67" i="21"/>
  <c r="N66" i="21"/>
  <c r="M66" i="21"/>
  <c r="A66" i="21"/>
  <c r="P65" i="21"/>
  <c r="N65" i="21"/>
  <c r="M65" i="21"/>
  <c r="A65" i="21"/>
  <c r="O65" i="21" s="1"/>
  <c r="N64" i="21"/>
  <c r="M64" i="21"/>
  <c r="A64" i="21"/>
  <c r="N63" i="21"/>
  <c r="M63" i="21"/>
  <c r="A63" i="21"/>
  <c r="P63" i="21" s="1"/>
  <c r="N62" i="21"/>
  <c r="M62" i="21"/>
  <c r="A62" i="21"/>
  <c r="N61" i="21"/>
  <c r="M61" i="21"/>
  <c r="A61" i="21"/>
  <c r="N60" i="21"/>
  <c r="M60" i="21"/>
  <c r="A60" i="21"/>
  <c r="N59" i="21"/>
  <c r="M59" i="21"/>
  <c r="A59" i="21"/>
  <c r="O59" i="21" s="1"/>
  <c r="N58" i="21"/>
  <c r="M58" i="21"/>
  <c r="A58" i="21"/>
  <c r="N57" i="21"/>
  <c r="M57" i="21"/>
  <c r="A57" i="21"/>
  <c r="P57" i="21" s="1"/>
  <c r="N56" i="21"/>
  <c r="M56" i="21"/>
  <c r="A56" i="21"/>
  <c r="O56" i="21" s="1"/>
  <c r="N55" i="21"/>
  <c r="M55" i="21"/>
  <c r="A55" i="21"/>
  <c r="P55" i="21" s="1"/>
  <c r="N54" i="21"/>
  <c r="M54" i="21"/>
  <c r="A54" i="21"/>
  <c r="N53" i="21"/>
  <c r="M53" i="21"/>
  <c r="A53" i="21"/>
  <c r="O53" i="21" s="1"/>
  <c r="N52" i="21"/>
  <c r="M52" i="21"/>
  <c r="A52" i="21"/>
  <c r="N51" i="21"/>
  <c r="M51" i="21"/>
  <c r="A51" i="21"/>
  <c r="P51" i="21" s="1"/>
  <c r="N50" i="21"/>
  <c r="M50" i="21"/>
  <c r="A50" i="21"/>
  <c r="P50" i="21" s="1"/>
  <c r="N49" i="21"/>
  <c r="M49" i="21"/>
  <c r="A49" i="21"/>
  <c r="P49" i="21" s="1"/>
  <c r="N48" i="21"/>
  <c r="M48" i="21"/>
  <c r="A48" i="21"/>
  <c r="N47" i="21"/>
  <c r="M47" i="21"/>
  <c r="A47" i="21"/>
  <c r="O47" i="21" s="1"/>
  <c r="N46" i="21"/>
  <c r="M46" i="21"/>
  <c r="A46" i="21"/>
  <c r="N45" i="21"/>
  <c r="M45" i="21"/>
  <c r="A45" i="21"/>
  <c r="N44" i="21"/>
  <c r="M44" i="21"/>
  <c r="A44" i="21"/>
  <c r="N43" i="21"/>
  <c r="M43" i="21"/>
  <c r="A43" i="21"/>
  <c r="N42" i="21"/>
  <c r="M42" i="21"/>
  <c r="A42" i="21"/>
  <c r="N41" i="21"/>
  <c r="M41" i="21"/>
  <c r="A41" i="21"/>
  <c r="N40" i="21"/>
  <c r="M40" i="21"/>
  <c r="A40" i="21"/>
  <c r="N39" i="21"/>
  <c r="M39" i="21"/>
  <c r="A39" i="21"/>
  <c r="P39" i="21" s="1"/>
  <c r="N38" i="21"/>
  <c r="M38" i="21"/>
  <c r="A38" i="21"/>
  <c r="N37" i="21"/>
  <c r="M37" i="21"/>
  <c r="A37" i="21"/>
  <c r="N36" i="21"/>
  <c r="M36" i="21"/>
  <c r="A36" i="21"/>
  <c r="N35" i="21"/>
  <c r="M35" i="21"/>
  <c r="A35" i="21"/>
  <c r="O35" i="21" s="1"/>
  <c r="N34" i="21"/>
  <c r="M34" i="21"/>
  <c r="A34" i="21"/>
  <c r="N33" i="21"/>
  <c r="M33" i="21"/>
  <c r="A33" i="21"/>
  <c r="N32" i="21"/>
  <c r="M32" i="21"/>
  <c r="A32" i="21"/>
  <c r="O32" i="21" s="1"/>
  <c r="N31" i="21"/>
  <c r="M31" i="21"/>
  <c r="A31" i="21"/>
  <c r="P31" i="21" s="1"/>
  <c r="N30" i="21"/>
  <c r="M30" i="21"/>
  <c r="A30" i="21"/>
  <c r="N29" i="21"/>
  <c r="M29" i="21"/>
  <c r="A29" i="21"/>
  <c r="N28" i="21"/>
  <c r="M28" i="21"/>
  <c r="A28" i="21"/>
  <c r="N27" i="21"/>
  <c r="M27" i="21"/>
  <c r="A27" i="21"/>
  <c r="O26" i="21"/>
  <c r="N26" i="21"/>
  <c r="M26" i="21"/>
  <c r="A26" i="21"/>
  <c r="P26" i="21" s="1"/>
  <c r="N25" i="21"/>
  <c r="M25" i="21"/>
  <c r="A25" i="21"/>
  <c r="N24" i="21"/>
  <c r="M24" i="21"/>
  <c r="A24" i="21"/>
  <c r="N23" i="21"/>
  <c r="M23" i="21"/>
  <c r="A23" i="21"/>
  <c r="N22" i="21"/>
  <c r="M22" i="21"/>
  <c r="A22" i="21"/>
  <c r="O21" i="21"/>
  <c r="N21" i="21"/>
  <c r="M21" i="21"/>
  <c r="A21" i="21"/>
  <c r="P21" i="21" s="1"/>
  <c r="N20" i="21"/>
  <c r="M20" i="21"/>
  <c r="A20" i="21"/>
  <c r="N19" i="21"/>
  <c r="M19" i="21"/>
  <c r="A19" i="21"/>
  <c r="N18" i="21"/>
  <c r="M18" i="21"/>
  <c r="A18" i="21"/>
  <c r="P17" i="21"/>
  <c r="N17" i="21"/>
  <c r="M17" i="21"/>
  <c r="A17" i="21"/>
  <c r="O17" i="21" s="1"/>
  <c r="N16" i="21"/>
  <c r="M16" i="21"/>
  <c r="A16" i="21"/>
  <c r="N15" i="21"/>
  <c r="M15" i="21"/>
  <c r="A15" i="21"/>
  <c r="P15" i="21" s="1"/>
  <c r="N14" i="21"/>
  <c r="M14" i="21"/>
  <c r="A14" i="21"/>
  <c r="N13" i="21"/>
  <c r="M13" i="21"/>
  <c r="A13" i="21"/>
  <c r="N12" i="21"/>
  <c r="M12" i="21"/>
  <c r="A12" i="21"/>
  <c r="N11" i="21"/>
  <c r="M11" i="21"/>
  <c r="A11" i="21"/>
  <c r="O11" i="21" s="1"/>
  <c r="N10" i="21"/>
  <c r="M10" i="21"/>
  <c r="A10" i="21"/>
  <c r="N9" i="21"/>
  <c r="M9" i="21"/>
  <c r="A9" i="21"/>
  <c r="N8" i="21"/>
  <c r="M8" i="21"/>
  <c r="A8" i="21"/>
  <c r="O8" i="21" s="1"/>
  <c r="N7" i="21"/>
  <c r="M7" i="21"/>
  <c r="A7" i="21"/>
  <c r="P7" i="21" s="1"/>
  <c r="N6" i="21"/>
  <c r="M6" i="21"/>
  <c r="A6" i="21"/>
  <c r="N5" i="21"/>
  <c r="M5" i="21"/>
  <c r="A5" i="21"/>
  <c r="N4" i="21"/>
  <c r="M4" i="21"/>
  <c r="A4" i="21"/>
  <c r="P98" i="21" l="1"/>
  <c r="O98" i="21"/>
  <c r="P92" i="21"/>
  <c r="O92" i="21"/>
  <c r="P91" i="21"/>
  <c r="O91" i="21"/>
  <c r="P86" i="21"/>
  <c r="O86" i="21"/>
  <c r="P68" i="21"/>
  <c r="O68" i="21"/>
  <c r="P67" i="21"/>
  <c r="O67" i="21"/>
  <c r="P62" i="21"/>
  <c r="O62" i="21"/>
  <c r="P61" i="21"/>
  <c r="O61" i="21"/>
  <c r="P45" i="21"/>
  <c r="O45" i="21"/>
  <c r="P44" i="21"/>
  <c r="O44" i="21"/>
  <c r="P43" i="21"/>
  <c r="O43" i="21"/>
  <c r="O41" i="21"/>
  <c r="P41" i="21"/>
  <c r="P38" i="21"/>
  <c r="O38" i="21"/>
  <c r="P37" i="21"/>
  <c r="O37" i="21"/>
  <c r="P33" i="21"/>
  <c r="O33" i="21"/>
  <c r="O29" i="21"/>
  <c r="P29" i="21"/>
  <c r="P27" i="21"/>
  <c r="O27" i="21"/>
  <c r="P25" i="21"/>
  <c r="O25" i="21"/>
  <c r="O23" i="21"/>
  <c r="P23" i="21"/>
  <c r="P20" i="21"/>
  <c r="O20" i="21"/>
  <c r="P19" i="21"/>
  <c r="O19" i="21"/>
  <c r="P14" i="21"/>
  <c r="O14" i="21"/>
  <c r="P13" i="21"/>
  <c r="O13" i="21"/>
  <c r="P9" i="21"/>
  <c r="O9" i="21"/>
  <c r="O5" i="21"/>
  <c r="P5" i="21"/>
  <c r="P4" i="21"/>
  <c r="O4" i="21"/>
  <c r="O49" i="21"/>
  <c r="O50" i="21"/>
  <c r="P53" i="21"/>
  <c r="P56" i="21"/>
  <c r="O57" i="21"/>
  <c r="O73" i="21"/>
  <c r="O74" i="21"/>
  <c r="P77" i="21"/>
  <c r="P80" i="21"/>
  <c r="O81" i="21"/>
  <c r="P47" i="21"/>
  <c r="O51" i="21"/>
  <c r="P71" i="21"/>
  <c r="O75" i="21"/>
  <c r="P95" i="21"/>
  <c r="P89" i="21"/>
  <c r="O93" i="21"/>
  <c r="P8" i="21"/>
  <c r="P32" i="21"/>
  <c r="O7" i="21"/>
  <c r="P11" i="21"/>
  <c r="O15" i="21"/>
  <c r="O31" i="21"/>
  <c r="P35" i="21"/>
  <c r="O39" i="21"/>
  <c r="O55" i="21"/>
  <c r="P59" i="21"/>
  <c r="O63" i="21"/>
  <c r="O79" i="21"/>
  <c r="P83" i="21"/>
  <c r="O87" i="21"/>
  <c r="P12" i="21"/>
  <c r="O12" i="21"/>
  <c r="P6" i="21"/>
  <c r="O6" i="21"/>
  <c r="O34" i="21"/>
  <c r="P34" i="21"/>
  <c r="O70" i="21"/>
  <c r="P70" i="21"/>
  <c r="O22" i="21"/>
  <c r="P22" i="21"/>
  <c r="O40" i="21"/>
  <c r="P40" i="21"/>
  <c r="O76" i="21"/>
  <c r="P76" i="21"/>
  <c r="O28" i="21"/>
  <c r="P28" i="21"/>
  <c r="O64" i="21"/>
  <c r="P64" i="21"/>
  <c r="P30" i="21"/>
  <c r="O30" i="21"/>
  <c r="O58" i="21"/>
  <c r="P58" i="21"/>
  <c r="O94" i="21"/>
  <c r="P94" i="21"/>
  <c r="O16" i="21"/>
  <c r="P16" i="21"/>
  <c r="P24" i="21"/>
  <c r="O24" i="21"/>
  <c r="O52" i="21"/>
  <c r="P52" i="21"/>
  <c r="O88" i="21"/>
  <c r="P88" i="21"/>
  <c r="O10" i="21"/>
  <c r="P10" i="21"/>
  <c r="P18" i="21"/>
  <c r="O18" i="21"/>
  <c r="O46" i="21"/>
  <c r="P46" i="21"/>
  <c r="O82" i="21"/>
  <c r="P82" i="21"/>
  <c r="P36" i="21"/>
  <c r="O36" i="21"/>
  <c r="P42" i="21"/>
  <c r="O42" i="21"/>
  <c r="P48" i="21"/>
  <c r="O48" i="21"/>
  <c r="P54" i="21"/>
  <c r="O54" i="21"/>
  <c r="P60" i="21"/>
  <c r="O60" i="21"/>
  <c r="P66" i="21"/>
  <c r="O66" i="21"/>
  <c r="P72" i="21"/>
  <c r="O72" i="21"/>
  <c r="P78" i="21"/>
  <c r="O78" i="21"/>
  <c r="P84" i="21"/>
  <c r="O84" i="21"/>
  <c r="P90" i="21"/>
  <c r="O90" i="21"/>
  <c r="P96" i="21"/>
  <c r="O96" i="21"/>
  <c r="O97" i="21"/>
  <c r="O99" i="21"/>
  <c r="G5" i="13" l="1"/>
  <c r="G6" i="13"/>
  <c r="G7" i="13"/>
  <c r="G4" i="13"/>
  <c r="F5" i="13"/>
  <c r="F6" i="13"/>
  <c r="F7" i="13"/>
  <c r="F4" i="13"/>
  <c r="A5" i="20"/>
  <c r="A6" i="20"/>
  <c r="A5" i="13"/>
  <c r="A6" i="13"/>
  <c r="A7" i="13"/>
  <c r="A4" i="13"/>
  <c r="A4" i="20" l="1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F6" i="15" l="1"/>
  <c r="H6" i="15"/>
  <c r="G6" i="15"/>
  <c r="G30" i="15"/>
  <c r="H30" i="15"/>
  <c r="F30" i="15"/>
  <c r="G54" i="15"/>
  <c r="H54" i="15"/>
  <c r="F54" i="15"/>
  <c r="H102" i="15"/>
  <c r="G102" i="15"/>
  <c r="F102" i="15"/>
  <c r="H114" i="15"/>
  <c r="G114" i="15"/>
  <c r="F114" i="15"/>
  <c r="H132" i="15"/>
  <c r="G132" i="15"/>
  <c r="F132" i="15"/>
  <c r="H144" i="15"/>
  <c r="F144" i="15"/>
  <c r="G144" i="15"/>
  <c r="H162" i="15"/>
  <c r="G162" i="15"/>
  <c r="F162" i="15"/>
  <c r="G174" i="15"/>
  <c r="F174" i="15"/>
  <c r="H174" i="15"/>
  <c r="F186" i="15"/>
  <c r="H186" i="15"/>
  <c r="G186" i="15"/>
  <c r="H198" i="15"/>
  <c r="F198" i="15"/>
  <c r="G198" i="15"/>
  <c r="H210" i="15"/>
  <c r="G210" i="15"/>
  <c r="F210" i="15"/>
  <c r="H222" i="15"/>
  <c r="G222" i="15"/>
  <c r="F222" i="15"/>
  <c r="H234" i="15"/>
  <c r="G234" i="15"/>
  <c r="F234" i="15"/>
  <c r="G246" i="15"/>
  <c r="H246" i="15"/>
  <c r="F246" i="15"/>
  <c r="H258" i="15"/>
  <c r="F258" i="15"/>
  <c r="G258" i="15"/>
  <c r="H270" i="15"/>
  <c r="G270" i="15"/>
  <c r="F270" i="15"/>
  <c r="H276" i="15"/>
  <c r="G276" i="15"/>
  <c r="F276" i="15"/>
  <c r="F294" i="15"/>
  <c r="G294" i="15"/>
  <c r="H294" i="15"/>
  <c r="H306" i="15"/>
  <c r="F306" i="15"/>
  <c r="G306" i="15"/>
  <c r="H318" i="15"/>
  <c r="G318" i="15"/>
  <c r="F318" i="15"/>
  <c r="G330" i="15"/>
  <c r="H330" i="15"/>
  <c r="F330" i="15"/>
  <c r="H336" i="15"/>
  <c r="G336" i="15"/>
  <c r="F336" i="15"/>
  <c r="G13" i="15"/>
  <c r="F13" i="15"/>
  <c r="H13" i="15"/>
  <c r="G25" i="15"/>
  <c r="F25" i="15"/>
  <c r="H25" i="15"/>
  <c r="G37" i="15"/>
  <c r="F37" i="15"/>
  <c r="H37" i="15"/>
  <c r="G49" i="15"/>
  <c r="F49" i="15"/>
  <c r="H49" i="15"/>
  <c r="G61" i="15"/>
  <c r="F61" i="15"/>
  <c r="H61" i="15"/>
  <c r="G73" i="15"/>
  <c r="F73" i="15"/>
  <c r="H73" i="15"/>
  <c r="F85" i="15"/>
  <c r="H85" i="15"/>
  <c r="G85" i="15"/>
  <c r="F103" i="15"/>
  <c r="H103" i="15"/>
  <c r="G103" i="15"/>
  <c r="H115" i="15"/>
  <c r="F115" i="15"/>
  <c r="G115" i="15"/>
  <c r="F127" i="15"/>
  <c r="G127" i="15"/>
  <c r="H127" i="15"/>
  <c r="F139" i="15"/>
  <c r="H139" i="15"/>
  <c r="G139" i="15"/>
  <c r="F145" i="15"/>
  <c r="H145" i="15"/>
  <c r="G145" i="15"/>
  <c r="F157" i="15"/>
  <c r="H157" i="15"/>
  <c r="G157" i="15"/>
  <c r="F163" i="15"/>
  <c r="H163" i="15"/>
  <c r="G163" i="15"/>
  <c r="F169" i="15"/>
  <c r="H169" i="15"/>
  <c r="G169" i="15"/>
  <c r="F175" i="15"/>
  <c r="H175" i="15"/>
  <c r="G175" i="15"/>
  <c r="F181" i="15"/>
  <c r="G181" i="15"/>
  <c r="H181" i="15"/>
  <c r="H187" i="15"/>
  <c r="F187" i="15"/>
  <c r="G187" i="15"/>
  <c r="F193" i="15"/>
  <c r="H193" i="15"/>
  <c r="G193" i="15"/>
  <c r="F199" i="15"/>
  <c r="H199" i="15"/>
  <c r="G199" i="15"/>
  <c r="F205" i="15"/>
  <c r="H205" i="15"/>
  <c r="G205" i="15"/>
  <c r="F211" i="15"/>
  <c r="H211" i="15"/>
  <c r="G211" i="15"/>
  <c r="F217" i="15"/>
  <c r="G217" i="15"/>
  <c r="H217" i="15"/>
  <c r="H223" i="15"/>
  <c r="F223" i="15"/>
  <c r="G223" i="15"/>
  <c r="F229" i="15"/>
  <c r="H229" i="15"/>
  <c r="G229" i="15"/>
  <c r="F235" i="15"/>
  <c r="G235" i="15"/>
  <c r="H235" i="15"/>
  <c r="F241" i="15"/>
  <c r="H241" i="15"/>
  <c r="G241" i="15"/>
  <c r="F247" i="15"/>
  <c r="H247" i="15"/>
  <c r="G247" i="15"/>
  <c r="F253" i="15"/>
  <c r="H253" i="15"/>
  <c r="G253" i="15"/>
  <c r="H259" i="15"/>
  <c r="F259" i="15"/>
  <c r="G259" i="15"/>
  <c r="F265" i="15"/>
  <c r="H265" i="15"/>
  <c r="G265" i="15"/>
  <c r="F271" i="15"/>
  <c r="H271" i="15"/>
  <c r="G271" i="15"/>
  <c r="F277" i="15"/>
  <c r="G277" i="15"/>
  <c r="H277" i="15"/>
  <c r="F283" i="15"/>
  <c r="H283" i="15"/>
  <c r="G283" i="15"/>
  <c r="F289" i="15"/>
  <c r="G289" i="15"/>
  <c r="H289" i="15"/>
  <c r="H295" i="15"/>
  <c r="F295" i="15"/>
  <c r="G295" i="15"/>
  <c r="F301" i="15"/>
  <c r="H301" i="15"/>
  <c r="G301" i="15"/>
  <c r="F307" i="15"/>
  <c r="H307" i="15"/>
  <c r="G307" i="15"/>
  <c r="F313" i="15"/>
  <c r="H313" i="15"/>
  <c r="G313" i="15"/>
  <c r="H319" i="15"/>
  <c r="G319" i="15"/>
  <c r="F319" i="15"/>
  <c r="G325" i="15"/>
  <c r="H325" i="15"/>
  <c r="F325" i="15"/>
  <c r="H331" i="15"/>
  <c r="G331" i="15"/>
  <c r="F331" i="15"/>
  <c r="H337" i="15"/>
  <c r="G337" i="15"/>
  <c r="F337" i="15"/>
  <c r="H343" i="15"/>
  <c r="G343" i="15"/>
  <c r="F343" i="15"/>
  <c r="G12" i="15"/>
  <c r="F12" i="15"/>
  <c r="H12" i="15"/>
  <c r="H36" i="15"/>
  <c r="F36" i="15"/>
  <c r="G36" i="15"/>
  <c r="H60" i="15"/>
  <c r="G60" i="15"/>
  <c r="F60" i="15"/>
  <c r="F78" i="15"/>
  <c r="H78" i="15"/>
  <c r="G78" i="15"/>
  <c r="H96" i="15"/>
  <c r="G96" i="15"/>
  <c r="F96" i="15"/>
  <c r="H120" i="15"/>
  <c r="G120" i="15"/>
  <c r="F120" i="15"/>
  <c r="G138" i="15"/>
  <c r="H138" i="15"/>
  <c r="F138" i="15"/>
  <c r="H150" i="15"/>
  <c r="F150" i="15"/>
  <c r="G150" i="15"/>
  <c r="H156" i="15"/>
  <c r="G156" i="15"/>
  <c r="F156" i="15"/>
  <c r="H168" i="15"/>
  <c r="G168" i="15"/>
  <c r="F168" i="15"/>
  <c r="H180" i="15"/>
  <c r="G180" i="15"/>
  <c r="F180" i="15"/>
  <c r="G192" i="15"/>
  <c r="H192" i="15"/>
  <c r="F192" i="15"/>
  <c r="H204" i="15"/>
  <c r="G204" i="15"/>
  <c r="F204" i="15"/>
  <c r="H216" i="15"/>
  <c r="F216" i="15"/>
  <c r="G216" i="15"/>
  <c r="H228" i="15"/>
  <c r="G228" i="15"/>
  <c r="F228" i="15"/>
  <c r="H240" i="15"/>
  <c r="G240" i="15"/>
  <c r="F240" i="15"/>
  <c r="H252" i="15"/>
  <c r="F252" i="15"/>
  <c r="G252" i="15"/>
  <c r="H264" i="15"/>
  <c r="G264" i="15"/>
  <c r="F264" i="15"/>
  <c r="G282" i="15"/>
  <c r="H282" i="15"/>
  <c r="F282" i="15"/>
  <c r="H288" i="15"/>
  <c r="G288" i="15"/>
  <c r="F288" i="15"/>
  <c r="H300" i="15"/>
  <c r="G300" i="15"/>
  <c r="F300" i="15"/>
  <c r="G312" i="15"/>
  <c r="H312" i="15"/>
  <c r="F312" i="15"/>
  <c r="H324" i="15"/>
  <c r="G324" i="15"/>
  <c r="F324" i="15"/>
  <c r="G342" i="15"/>
  <c r="H342" i="15"/>
  <c r="F342" i="15"/>
  <c r="G7" i="15"/>
  <c r="H7" i="15"/>
  <c r="F7" i="15"/>
  <c r="G19" i="15"/>
  <c r="F19" i="15"/>
  <c r="H19" i="15"/>
  <c r="G31" i="15"/>
  <c r="F31" i="15"/>
  <c r="H31" i="15"/>
  <c r="G43" i="15"/>
  <c r="H43" i="15"/>
  <c r="F43" i="15"/>
  <c r="G55" i="15"/>
  <c r="F55" i="15"/>
  <c r="H55" i="15"/>
  <c r="G67" i="15"/>
  <c r="F67" i="15"/>
  <c r="H67" i="15"/>
  <c r="H79" i="15"/>
  <c r="F79" i="15"/>
  <c r="G79" i="15"/>
  <c r="F91" i="15"/>
  <c r="H91" i="15"/>
  <c r="G91" i="15"/>
  <c r="F97" i="15"/>
  <c r="H97" i="15"/>
  <c r="G97" i="15"/>
  <c r="F109" i="15"/>
  <c r="G109" i="15"/>
  <c r="H109" i="15"/>
  <c r="F121" i="15"/>
  <c r="H121" i="15"/>
  <c r="G121" i="15"/>
  <c r="F133" i="15"/>
  <c r="H133" i="15"/>
  <c r="G133" i="15"/>
  <c r="H151" i="15"/>
  <c r="F151" i="15"/>
  <c r="G151" i="15"/>
  <c r="F8" i="15"/>
  <c r="H8" i="15"/>
  <c r="G8" i="15"/>
  <c r="H14" i="15"/>
  <c r="F14" i="15"/>
  <c r="G14" i="15"/>
  <c r="G20" i="15"/>
  <c r="H20" i="15"/>
  <c r="F20" i="15"/>
  <c r="H26" i="15"/>
  <c r="G26" i="15"/>
  <c r="F26" i="15"/>
  <c r="H32" i="15"/>
  <c r="G32" i="15"/>
  <c r="F32" i="15"/>
  <c r="H38" i="15"/>
  <c r="G38" i="15"/>
  <c r="F38" i="15"/>
  <c r="G44" i="15"/>
  <c r="F44" i="15"/>
  <c r="H44" i="15"/>
  <c r="H50" i="15"/>
  <c r="F50" i="15"/>
  <c r="G50" i="15"/>
  <c r="G56" i="15"/>
  <c r="H56" i="15"/>
  <c r="F56" i="15"/>
  <c r="G62" i="15"/>
  <c r="F62" i="15"/>
  <c r="H62" i="15"/>
  <c r="H68" i="15"/>
  <c r="F68" i="15"/>
  <c r="G68" i="15"/>
  <c r="H74" i="15"/>
  <c r="G74" i="15"/>
  <c r="F74" i="15"/>
  <c r="H80" i="15"/>
  <c r="G80" i="15"/>
  <c r="F80" i="15"/>
  <c r="H86" i="15"/>
  <c r="F86" i="15"/>
  <c r="G86" i="15"/>
  <c r="H92" i="15"/>
  <c r="G92" i="15"/>
  <c r="F92" i="15"/>
  <c r="H98" i="15"/>
  <c r="G98" i="15"/>
  <c r="F98" i="15"/>
  <c r="H104" i="15"/>
  <c r="G104" i="15"/>
  <c r="F104" i="15"/>
  <c r="H110" i="15"/>
  <c r="G110" i="15"/>
  <c r="F110" i="15"/>
  <c r="G116" i="15"/>
  <c r="H116" i="15"/>
  <c r="F116" i="15"/>
  <c r="H122" i="15"/>
  <c r="F122" i="15"/>
  <c r="G122" i="15"/>
  <c r="H128" i="15"/>
  <c r="G128" i="15"/>
  <c r="F128" i="15"/>
  <c r="H134" i="15"/>
  <c r="F134" i="15"/>
  <c r="G134" i="15"/>
  <c r="H140" i="15"/>
  <c r="G140" i="15"/>
  <c r="F140" i="15"/>
  <c r="H146" i="15"/>
  <c r="G146" i="15"/>
  <c r="F146" i="15"/>
  <c r="G152" i="15"/>
  <c r="F152" i="15"/>
  <c r="H152" i="15"/>
  <c r="H158" i="15"/>
  <c r="F158" i="15"/>
  <c r="G158" i="15"/>
  <c r="H164" i="15"/>
  <c r="G164" i="15"/>
  <c r="F164" i="15"/>
  <c r="G170" i="15"/>
  <c r="F170" i="15"/>
  <c r="H170" i="15"/>
  <c r="H176" i="15"/>
  <c r="F176" i="15"/>
  <c r="G176" i="15"/>
  <c r="H182" i="15"/>
  <c r="G182" i="15"/>
  <c r="F182" i="15"/>
  <c r="H188" i="15"/>
  <c r="G188" i="15"/>
  <c r="F188" i="15"/>
  <c r="H194" i="15"/>
  <c r="F194" i="15"/>
  <c r="G194" i="15"/>
  <c r="H200" i="15"/>
  <c r="G200" i="15"/>
  <c r="F200" i="15"/>
  <c r="H206" i="15"/>
  <c r="G206" i="15"/>
  <c r="F206" i="15"/>
  <c r="H212" i="15"/>
  <c r="G212" i="15"/>
  <c r="F212" i="15"/>
  <c r="H218" i="15"/>
  <c r="G218" i="15"/>
  <c r="F218" i="15"/>
  <c r="G224" i="15"/>
  <c r="H224" i="15"/>
  <c r="F224" i="15"/>
  <c r="H230" i="15"/>
  <c r="F230" i="15"/>
  <c r="G230" i="15"/>
  <c r="H236" i="15"/>
  <c r="G236" i="15"/>
  <c r="F236" i="15"/>
  <c r="H242" i="15"/>
  <c r="F242" i="15"/>
  <c r="G242" i="15"/>
  <c r="H248" i="15"/>
  <c r="F248" i="15"/>
  <c r="G248" i="15"/>
  <c r="H254" i="15"/>
  <c r="G254" i="15"/>
  <c r="F254" i="15"/>
  <c r="G260" i="15"/>
  <c r="F260" i="15"/>
  <c r="H260" i="15"/>
  <c r="H266" i="15"/>
  <c r="F266" i="15"/>
  <c r="G266" i="15"/>
  <c r="H272" i="15"/>
  <c r="G272" i="15"/>
  <c r="F272" i="15"/>
  <c r="H278" i="15"/>
  <c r="G278" i="15"/>
  <c r="F278" i="15"/>
  <c r="H284" i="15"/>
  <c r="F284" i="15"/>
  <c r="G284" i="15"/>
  <c r="G290" i="15"/>
  <c r="H290" i="15"/>
  <c r="F290" i="15"/>
  <c r="G296" i="15"/>
  <c r="H296" i="15"/>
  <c r="F296" i="15"/>
  <c r="H302" i="15"/>
  <c r="F302" i="15"/>
  <c r="G302" i="15"/>
  <c r="H308" i="15"/>
  <c r="G308" i="15"/>
  <c r="F308" i="15"/>
  <c r="G314" i="15"/>
  <c r="H314" i="15"/>
  <c r="F314" i="15"/>
  <c r="G320" i="15"/>
  <c r="H320" i="15"/>
  <c r="F320" i="15"/>
  <c r="H326" i="15"/>
  <c r="G326" i="15"/>
  <c r="F326" i="15"/>
  <c r="G332" i="15"/>
  <c r="H332" i="15"/>
  <c r="F332" i="15"/>
  <c r="H338" i="15"/>
  <c r="F338" i="15"/>
  <c r="G338" i="15"/>
  <c r="H24" i="15"/>
  <c r="F24" i="15"/>
  <c r="G24" i="15"/>
  <c r="G48" i="15"/>
  <c r="H48" i="15"/>
  <c r="F48" i="15"/>
  <c r="H72" i="15"/>
  <c r="G72" i="15"/>
  <c r="F72" i="15"/>
  <c r="H90" i="15"/>
  <c r="F90" i="15"/>
  <c r="G90" i="15"/>
  <c r="H108" i="15"/>
  <c r="F108" i="15"/>
  <c r="G108" i="15"/>
  <c r="H9" i="15"/>
  <c r="G9" i="15"/>
  <c r="F9" i="15"/>
  <c r="H21" i="15"/>
  <c r="G21" i="15"/>
  <c r="F21" i="15"/>
  <c r="G27" i="15"/>
  <c r="H27" i="15"/>
  <c r="F27" i="15"/>
  <c r="H39" i="15"/>
  <c r="G39" i="15"/>
  <c r="F39" i="15"/>
  <c r="H51" i="15"/>
  <c r="F51" i="15"/>
  <c r="G51" i="15"/>
  <c r="G63" i="15"/>
  <c r="H63" i="15"/>
  <c r="F63" i="15"/>
  <c r="H75" i="15"/>
  <c r="G75" i="15"/>
  <c r="F75" i="15"/>
  <c r="G87" i="15"/>
  <c r="F87" i="15"/>
  <c r="H87" i="15"/>
  <c r="G105" i="15"/>
  <c r="H105" i="15"/>
  <c r="F105" i="15"/>
  <c r="H117" i="15"/>
  <c r="G117" i="15"/>
  <c r="F117" i="15"/>
  <c r="H129" i="15"/>
  <c r="F129" i="15"/>
  <c r="G129" i="15"/>
  <c r="H141" i="15"/>
  <c r="G141" i="15"/>
  <c r="F141" i="15"/>
  <c r="H153" i="15"/>
  <c r="G153" i="15"/>
  <c r="F153" i="15"/>
  <c r="H165" i="15"/>
  <c r="F165" i="15"/>
  <c r="G165" i="15"/>
  <c r="H177" i="15"/>
  <c r="G177" i="15"/>
  <c r="F177" i="15"/>
  <c r="H189" i="15"/>
  <c r="G189" i="15"/>
  <c r="F189" i="15"/>
  <c r="H201" i="15"/>
  <c r="F201" i="15"/>
  <c r="G201" i="15"/>
  <c r="G213" i="15"/>
  <c r="F213" i="15"/>
  <c r="H213" i="15"/>
  <c r="H225" i="15"/>
  <c r="G225" i="15"/>
  <c r="F225" i="15"/>
  <c r="H237" i="15"/>
  <c r="F237" i="15"/>
  <c r="G237" i="15"/>
  <c r="H249" i="15"/>
  <c r="G249" i="15"/>
  <c r="F249" i="15"/>
  <c r="H261" i="15"/>
  <c r="G261" i="15"/>
  <c r="F261" i="15"/>
  <c r="H273" i="15"/>
  <c r="F273" i="15"/>
  <c r="G273" i="15"/>
  <c r="H285" i="15"/>
  <c r="F285" i="15"/>
  <c r="G285" i="15"/>
  <c r="G297" i="15"/>
  <c r="F297" i="15"/>
  <c r="H297" i="15"/>
  <c r="H309" i="15"/>
  <c r="F309" i="15"/>
  <c r="G309" i="15"/>
  <c r="H321" i="15"/>
  <c r="G321" i="15"/>
  <c r="F321" i="15"/>
  <c r="G333" i="15"/>
  <c r="H333" i="15"/>
  <c r="F333" i="15"/>
  <c r="G339" i="15"/>
  <c r="H339" i="15"/>
  <c r="F339" i="15"/>
  <c r="H4" i="15"/>
  <c r="F4" i="15"/>
  <c r="G4" i="15"/>
  <c r="H10" i="15"/>
  <c r="G10" i="15"/>
  <c r="F10" i="15"/>
  <c r="H16" i="15"/>
  <c r="G16" i="15"/>
  <c r="F16" i="15"/>
  <c r="G22" i="15"/>
  <c r="F22" i="15"/>
  <c r="H22" i="15"/>
  <c r="H28" i="15"/>
  <c r="F28" i="15"/>
  <c r="G28" i="15"/>
  <c r="G34" i="15"/>
  <c r="F34" i="15"/>
  <c r="H34" i="15"/>
  <c r="F40" i="15"/>
  <c r="H40" i="15"/>
  <c r="G40" i="15"/>
  <c r="G46" i="15"/>
  <c r="H46" i="15"/>
  <c r="F46" i="15"/>
  <c r="H52" i="15"/>
  <c r="F52" i="15"/>
  <c r="G52" i="15"/>
  <c r="H58" i="15"/>
  <c r="G58" i="15"/>
  <c r="F58" i="15"/>
  <c r="H64" i="15"/>
  <c r="G64" i="15"/>
  <c r="F64" i="15"/>
  <c r="G70" i="15"/>
  <c r="H70" i="15"/>
  <c r="F70" i="15"/>
  <c r="H76" i="15"/>
  <c r="G76" i="15"/>
  <c r="F76" i="15"/>
  <c r="H82" i="15"/>
  <c r="G82" i="15"/>
  <c r="F82" i="15"/>
  <c r="H88" i="15"/>
  <c r="G88" i="15"/>
  <c r="F88" i="15"/>
  <c r="G94" i="15"/>
  <c r="H94" i="15"/>
  <c r="F94" i="15"/>
  <c r="H100" i="15"/>
  <c r="F100" i="15"/>
  <c r="G100" i="15"/>
  <c r="H106" i="15"/>
  <c r="G106" i="15"/>
  <c r="F106" i="15"/>
  <c r="H112" i="15"/>
  <c r="F112" i="15"/>
  <c r="G112" i="15"/>
  <c r="H118" i="15"/>
  <c r="G118" i="15"/>
  <c r="F118" i="15"/>
  <c r="H124" i="15"/>
  <c r="G124" i="15"/>
  <c r="F124" i="15"/>
  <c r="G130" i="15"/>
  <c r="F130" i="15"/>
  <c r="H130" i="15"/>
  <c r="H136" i="15"/>
  <c r="F136" i="15"/>
  <c r="G136" i="15"/>
  <c r="H142" i="15"/>
  <c r="F142" i="15"/>
  <c r="G142" i="15"/>
  <c r="G148" i="15"/>
  <c r="F148" i="15"/>
  <c r="H148" i="15"/>
  <c r="H154" i="15"/>
  <c r="F154" i="15"/>
  <c r="G154" i="15"/>
  <c r="H160" i="15"/>
  <c r="G160" i="15"/>
  <c r="F160" i="15"/>
  <c r="H166" i="15"/>
  <c r="G166" i="15"/>
  <c r="F166" i="15"/>
  <c r="H172" i="15"/>
  <c r="F172" i="15"/>
  <c r="G172" i="15"/>
  <c r="H178" i="15"/>
  <c r="G178" i="15"/>
  <c r="F178" i="15"/>
  <c r="H184" i="15"/>
  <c r="G184" i="15"/>
  <c r="F184" i="15"/>
  <c r="H190" i="15"/>
  <c r="G190" i="15"/>
  <c r="F190" i="15"/>
  <c r="H196" i="15"/>
  <c r="G196" i="15"/>
  <c r="F196" i="15"/>
  <c r="G202" i="15"/>
  <c r="H202" i="15"/>
  <c r="F202" i="15"/>
  <c r="H208" i="15"/>
  <c r="F208" i="15"/>
  <c r="G208" i="15"/>
  <c r="H214" i="15"/>
  <c r="F214" i="15"/>
  <c r="G214" i="15"/>
  <c r="H220" i="15"/>
  <c r="F220" i="15"/>
  <c r="G220" i="15"/>
  <c r="H226" i="15"/>
  <c r="F226" i="15"/>
  <c r="G226" i="15"/>
  <c r="H232" i="15"/>
  <c r="G232" i="15"/>
  <c r="F232" i="15"/>
  <c r="G238" i="15"/>
  <c r="F238" i="15"/>
  <c r="H238" i="15"/>
  <c r="H244" i="15"/>
  <c r="F244" i="15"/>
  <c r="G244" i="15"/>
  <c r="H250" i="15"/>
  <c r="G250" i="15"/>
  <c r="F250" i="15"/>
  <c r="G256" i="15"/>
  <c r="F256" i="15"/>
  <c r="H256" i="15"/>
  <c r="H262" i="15"/>
  <c r="F262" i="15"/>
  <c r="G262" i="15"/>
  <c r="H268" i="15"/>
  <c r="G268" i="15"/>
  <c r="F268" i="15"/>
  <c r="H274" i="15"/>
  <c r="G274" i="15"/>
  <c r="F274" i="15"/>
  <c r="H280" i="15"/>
  <c r="F280" i="15"/>
  <c r="G280" i="15"/>
  <c r="H286" i="15"/>
  <c r="G286" i="15"/>
  <c r="F286" i="15"/>
  <c r="H292" i="15"/>
  <c r="G292" i="15"/>
  <c r="F292" i="15"/>
  <c r="H298" i="15"/>
  <c r="G298" i="15"/>
  <c r="F298" i="15"/>
  <c r="G304" i="15"/>
  <c r="H304" i="15"/>
  <c r="F304" i="15"/>
  <c r="G310" i="15"/>
  <c r="H310" i="15"/>
  <c r="F310" i="15"/>
  <c r="H316" i="15"/>
  <c r="F316" i="15"/>
  <c r="G316" i="15"/>
  <c r="F322" i="15"/>
  <c r="H322" i="15"/>
  <c r="G322" i="15"/>
  <c r="F328" i="15"/>
  <c r="H328" i="15"/>
  <c r="G328" i="15"/>
  <c r="H334" i="15"/>
  <c r="F334" i="15"/>
  <c r="G334" i="15"/>
  <c r="G340" i="15"/>
  <c r="F340" i="15"/>
  <c r="H340" i="15"/>
  <c r="H18" i="15"/>
  <c r="G18" i="15"/>
  <c r="F18" i="15"/>
  <c r="H42" i="15"/>
  <c r="F42" i="15"/>
  <c r="G42" i="15"/>
  <c r="H66" i="15"/>
  <c r="F66" i="15"/>
  <c r="G66" i="15"/>
  <c r="G84" i="15"/>
  <c r="H84" i="15"/>
  <c r="F84" i="15"/>
  <c r="H126" i="15"/>
  <c r="G126" i="15"/>
  <c r="F126" i="15"/>
  <c r="H15" i="15"/>
  <c r="F15" i="15"/>
  <c r="G15" i="15"/>
  <c r="F33" i="15"/>
  <c r="G33" i="15"/>
  <c r="H33" i="15"/>
  <c r="H45" i="15"/>
  <c r="G45" i="15"/>
  <c r="F45" i="15"/>
  <c r="H57" i="15"/>
  <c r="G57" i="15"/>
  <c r="F57" i="15"/>
  <c r="H69" i="15"/>
  <c r="G69" i="15"/>
  <c r="F69" i="15"/>
  <c r="H81" i="15"/>
  <c r="G81" i="15"/>
  <c r="F81" i="15"/>
  <c r="H93" i="15"/>
  <c r="F93" i="15"/>
  <c r="G93" i="15"/>
  <c r="H99" i="15"/>
  <c r="G99" i="15"/>
  <c r="F99" i="15"/>
  <c r="H111" i="15"/>
  <c r="F111" i="15"/>
  <c r="G111" i="15"/>
  <c r="H123" i="15"/>
  <c r="G123" i="15"/>
  <c r="F123" i="15"/>
  <c r="H135" i="15"/>
  <c r="G135" i="15"/>
  <c r="F135" i="15"/>
  <c r="H147" i="15"/>
  <c r="G147" i="15"/>
  <c r="F147" i="15"/>
  <c r="G159" i="15"/>
  <c r="H159" i="15"/>
  <c r="F159" i="15"/>
  <c r="H171" i="15"/>
  <c r="F171" i="15"/>
  <c r="G171" i="15"/>
  <c r="H183" i="15"/>
  <c r="F183" i="15"/>
  <c r="G183" i="15"/>
  <c r="G195" i="15"/>
  <c r="F195" i="15"/>
  <c r="H195" i="15"/>
  <c r="H207" i="15"/>
  <c r="G207" i="15"/>
  <c r="F207" i="15"/>
  <c r="H219" i="15"/>
  <c r="F219" i="15"/>
  <c r="G219" i="15"/>
  <c r="H231" i="15"/>
  <c r="G231" i="15"/>
  <c r="F231" i="15"/>
  <c r="H243" i="15"/>
  <c r="G243" i="15"/>
  <c r="F243" i="15"/>
  <c r="H255" i="15"/>
  <c r="G255" i="15"/>
  <c r="F255" i="15"/>
  <c r="G267" i="15"/>
  <c r="H267" i="15"/>
  <c r="F267" i="15"/>
  <c r="H279" i="15"/>
  <c r="G279" i="15"/>
  <c r="F279" i="15"/>
  <c r="H291" i="15"/>
  <c r="G291" i="15"/>
  <c r="F291" i="15"/>
  <c r="G303" i="15"/>
  <c r="H303" i="15"/>
  <c r="F303" i="15"/>
  <c r="H315" i="15"/>
  <c r="F315" i="15"/>
  <c r="G315" i="15"/>
  <c r="H327" i="15"/>
  <c r="G327" i="15"/>
  <c r="F327" i="15"/>
  <c r="H5" i="15"/>
  <c r="G5" i="15"/>
  <c r="F5" i="15"/>
  <c r="H11" i="15"/>
  <c r="G11" i="15"/>
  <c r="F11" i="15"/>
  <c r="H17" i="15"/>
  <c r="G17" i="15"/>
  <c r="F17" i="15"/>
  <c r="H23" i="15"/>
  <c r="F23" i="15"/>
  <c r="G23" i="15"/>
  <c r="H29" i="15"/>
  <c r="G29" i="15"/>
  <c r="F29" i="15"/>
  <c r="H35" i="15"/>
  <c r="F35" i="15"/>
  <c r="G35" i="15"/>
  <c r="H41" i="15"/>
  <c r="G41" i="15"/>
  <c r="F41" i="15"/>
  <c r="H47" i="15"/>
  <c r="G47" i="15"/>
  <c r="F47" i="15"/>
  <c r="H53" i="15"/>
  <c r="F53" i="15"/>
  <c r="G53" i="15"/>
  <c r="H59" i="15"/>
  <c r="G59" i="15"/>
  <c r="F59" i="15"/>
  <c r="H65" i="15"/>
  <c r="G65" i="15"/>
  <c r="F65" i="15"/>
  <c r="H71" i="15"/>
  <c r="F71" i="15"/>
  <c r="G71" i="15"/>
  <c r="H77" i="15"/>
  <c r="G77" i="15"/>
  <c r="F77" i="15"/>
  <c r="H83" i="15"/>
  <c r="G83" i="15"/>
  <c r="F83" i="15"/>
  <c r="H89" i="15"/>
  <c r="G89" i="15"/>
  <c r="F89" i="15"/>
  <c r="H95" i="15"/>
  <c r="G95" i="15"/>
  <c r="F95" i="15"/>
  <c r="H101" i="15"/>
  <c r="G101" i="15"/>
  <c r="F101" i="15"/>
  <c r="H107" i="15"/>
  <c r="G107" i="15"/>
  <c r="F107" i="15"/>
  <c r="H113" i="15"/>
  <c r="G113" i="15"/>
  <c r="F113" i="15"/>
  <c r="H119" i="15"/>
  <c r="G119" i="15"/>
  <c r="F119" i="15"/>
  <c r="H125" i="15"/>
  <c r="G125" i="15"/>
  <c r="F125" i="15"/>
  <c r="H131" i="15"/>
  <c r="G131" i="15"/>
  <c r="F131" i="15"/>
  <c r="H137" i="15"/>
  <c r="G137" i="15"/>
  <c r="F137" i="15"/>
  <c r="H143" i="15"/>
  <c r="G143" i="15"/>
  <c r="F143" i="15"/>
  <c r="H149" i="15"/>
  <c r="G149" i="15"/>
  <c r="F149" i="15"/>
  <c r="H155" i="15"/>
  <c r="G155" i="15"/>
  <c r="F155" i="15"/>
  <c r="H161" i="15"/>
  <c r="G161" i="15"/>
  <c r="F161" i="15"/>
  <c r="H167" i="15"/>
  <c r="G167" i="15"/>
  <c r="F167" i="15"/>
  <c r="H173" i="15"/>
  <c r="G173" i="15"/>
  <c r="F173" i="15"/>
  <c r="H179" i="15"/>
  <c r="G179" i="15"/>
  <c r="F179" i="15"/>
  <c r="H185" i="15"/>
  <c r="G185" i="15"/>
  <c r="F185" i="15"/>
  <c r="H191" i="15"/>
  <c r="G191" i="15"/>
  <c r="F191" i="15"/>
  <c r="H197" i="15"/>
  <c r="G197" i="15"/>
  <c r="F197" i="15"/>
  <c r="H203" i="15"/>
  <c r="G203" i="15"/>
  <c r="F203" i="15"/>
  <c r="H209" i="15"/>
  <c r="G209" i="15"/>
  <c r="F209" i="15"/>
  <c r="H215" i="15"/>
  <c r="G215" i="15"/>
  <c r="F215" i="15"/>
  <c r="H221" i="15"/>
  <c r="G221" i="15"/>
  <c r="F221" i="15"/>
  <c r="H227" i="15"/>
  <c r="G227" i="15"/>
  <c r="F227" i="15"/>
  <c r="H233" i="15"/>
  <c r="G233" i="15"/>
  <c r="F233" i="15"/>
  <c r="H239" i="15"/>
  <c r="G239" i="15"/>
  <c r="F239" i="15"/>
  <c r="H245" i="15"/>
  <c r="G245" i="15"/>
  <c r="F245" i="15"/>
  <c r="H251" i="15"/>
  <c r="G251" i="15"/>
  <c r="F251" i="15"/>
  <c r="H257" i="15"/>
  <c r="G257" i="15"/>
  <c r="F257" i="15"/>
  <c r="H263" i="15"/>
  <c r="G263" i="15"/>
  <c r="F263" i="15"/>
  <c r="H269" i="15"/>
  <c r="G269" i="15"/>
  <c r="F269" i="15"/>
  <c r="H275" i="15"/>
  <c r="G275" i="15"/>
  <c r="F275" i="15"/>
  <c r="H281" i="15"/>
  <c r="G281" i="15"/>
  <c r="F281" i="15"/>
  <c r="H287" i="15"/>
  <c r="G287" i="15"/>
  <c r="F287" i="15"/>
  <c r="H293" i="15"/>
  <c r="G293" i="15"/>
  <c r="F293" i="15"/>
  <c r="H299" i="15"/>
  <c r="G299" i="15"/>
  <c r="F299" i="15"/>
  <c r="H305" i="15"/>
  <c r="G305" i="15"/>
  <c r="F305" i="15"/>
  <c r="H311" i="15"/>
  <c r="G311" i="15"/>
  <c r="F311" i="15"/>
  <c r="H317" i="15"/>
  <c r="G317" i="15"/>
  <c r="F317" i="15"/>
  <c r="H323" i="15"/>
  <c r="G323" i="15"/>
  <c r="F323" i="15"/>
  <c r="H329" i="15"/>
  <c r="G329" i="15"/>
  <c r="F329" i="15"/>
  <c r="H335" i="15"/>
  <c r="G335" i="15"/>
  <c r="F335" i="15"/>
  <c r="H341" i="15"/>
  <c r="G341" i="15"/>
  <c r="F341" i="15"/>
  <c r="H6" i="13"/>
  <c r="H7" i="13"/>
  <c r="H4" i="13"/>
  <c r="H5" i="13"/>
  <c r="E4" i="20"/>
  <c r="E6" i="20"/>
  <c r="E5" i="20"/>
</calcChain>
</file>

<file path=xl/sharedStrings.xml><?xml version="1.0" encoding="utf-8"?>
<sst xmlns="http://schemas.openxmlformats.org/spreadsheetml/2006/main" count="1300" uniqueCount="1050">
  <si>
    <t>1. 개요</t>
    <phoneticPr fontId="1" type="noConversion"/>
  </si>
  <si>
    <t>1.2 기획 의도</t>
    <phoneticPr fontId="1" type="noConversion"/>
  </si>
  <si>
    <t>- 일정 기간마다 커스텀한 ID 카드로 타 유저들이 투표를 통해 평가하고 순위를 정하는 콘텐츠</t>
    <phoneticPr fontId="1" type="noConversion"/>
  </si>
  <si>
    <t>- 순위의 랭크는 플래티넘/골드/실버/브론즈가 존재한다.</t>
    <phoneticPr fontId="1" type="noConversion"/>
  </si>
  <si>
    <t>- 순위권 범위에 해당하는 유저들에게 보상 지급</t>
    <phoneticPr fontId="1" type="noConversion"/>
  </si>
  <si>
    <t>- ID 카드를 커스텀하여 개최 기간 내에 제출한다.</t>
    <phoneticPr fontId="1" type="noConversion"/>
  </si>
  <si>
    <t>- 개최 기간 동안 타 유저들의 커스텀 ID 카드를 투표한다 (1일 최대 30표 / 본인 투표 불가능)</t>
    <phoneticPr fontId="1" type="noConversion"/>
  </si>
  <si>
    <t>- 보상은 순위 범위와 랭크에 따라 다르게 지급한다.</t>
    <phoneticPr fontId="1" type="noConversion"/>
  </si>
  <si>
    <t>- 매 2주마다 (1주일 개최 후, 1주일 휴식) 개최한다.</t>
    <phoneticPr fontId="1" type="noConversion"/>
  </si>
  <si>
    <t>- 배치하는 리소스는 1개 이상, 2000개 이하로 제한한다.</t>
    <phoneticPr fontId="1" type="noConversion"/>
  </si>
  <si>
    <t>- 제출할 수 있는 ID 카드의 개수는 1개이다.</t>
    <phoneticPr fontId="1" type="noConversion"/>
  </si>
  <si>
    <t>- ID 카드 제출 시 수정 불가능 (단, 삭제 후 다시 제출은 가능)</t>
    <phoneticPr fontId="1" type="noConversion"/>
  </si>
  <si>
    <t>단계/분류</t>
    <phoneticPr fontId="6" type="noConversion"/>
  </si>
  <si>
    <t>항목</t>
    <phoneticPr fontId="6" type="noConversion"/>
  </si>
  <si>
    <t>시작</t>
    <phoneticPr fontId="1" type="noConversion"/>
  </si>
  <si>
    <t>ID 카드 선택</t>
    <phoneticPr fontId="1" type="noConversion"/>
  </si>
  <si>
    <t>-</t>
    <phoneticPr fontId="1" type="noConversion"/>
  </si>
  <si>
    <t>확인 버튼</t>
    <phoneticPr fontId="1" type="noConversion"/>
  </si>
  <si>
    <t xml:space="preserve"> ID 카드 커스텀 UI로 이동</t>
    <phoneticPr fontId="1" type="noConversion"/>
  </si>
  <si>
    <t xml:space="preserve"> 버튼 출력: 취소 /  확인</t>
    <phoneticPr fontId="1" type="noConversion"/>
  </si>
  <si>
    <t xml:space="preserve"> 토스트 메시지 출력: ID 카드 제출 완료</t>
    <phoneticPr fontId="1" type="noConversion"/>
  </si>
  <si>
    <t>종료</t>
    <phoneticPr fontId="1" type="noConversion"/>
  </si>
  <si>
    <t>이동</t>
    <phoneticPr fontId="1" type="noConversion"/>
  </si>
  <si>
    <t>예외 처리</t>
    <phoneticPr fontId="6" type="noConversion"/>
  </si>
  <si>
    <t xml:space="preserve"> 설명</t>
    <phoneticPr fontId="6" type="noConversion"/>
  </si>
  <si>
    <t>제출한 ID 카드 존재</t>
    <phoneticPr fontId="1" type="noConversion"/>
  </si>
  <si>
    <t xml:space="preserve"> ID 카드에 포함된 대표 캐릭터가 1명 미만일 경우 → 토스트 메시지 출력: 제출 조건을 충족하지 못했습니다.</t>
    <phoneticPr fontId="1" type="noConversion"/>
  </si>
  <si>
    <t xml:space="preserve"> 팝업 창 출력: 선택한 ID 카드를 제출하시겠습니까?</t>
    <phoneticPr fontId="1" type="noConversion"/>
  </si>
  <si>
    <t xml:space="preserve"> 버튼 출력: 취소 / 확인</t>
    <phoneticPr fontId="1" type="noConversion"/>
  </si>
  <si>
    <t>→ 취소 버튼 터치 시: 팝업 창 종료</t>
    <phoneticPr fontId="1" type="noConversion"/>
  </si>
  <si>
    <t>→ 삭제 후 다시 제출의 횟수는 제한이 없다. 다시 제출 시 지금까지 받았던 투표 수는 초기화 처리한다.</t>
    <phoneticPr fontId="1" type="noConversion"/>
  </si>
  <si>
    <t>제출 버튼</t>
    <phoneticPr fontId="1" type="noConversion"/>
  </si>
  <si>
    <t xml:space="preserve"> 터치 시 팝업 창 출력</t>
    <phoneticPr fontId="1" type="noConversion"/>
  </si>
  <si>
    <t>제출 안내 팝업 창</t>
    <phoneticPr fontId="1" type="noConversion"/>
  </si>
  <si>
    <t xml:space="preserve"> 제출할 ID 카드 1개를 제작 혹은 프리셋에 저장되어 있는 커스텀 ID 카드 불러오기</t>
    <phoneticPr fontId="1" type="noConversion"/>
  </si>
  <si>
    <t xml:space="preserve"> 확인 버튼 터치 시 제출 완료되며 커스텀 대회 UI로 이동 및 토스트 메시지 출력</t>
    <phoneticPr fontId="1" type="noConversion"/>
  </si>
  <si>
    <t>투표</t>
    <phoneticPr fontId="1" type="noConversion"/>
  </si>
  <si>
    <t xml:space="preserve"> 제출과 동시에 타 유저에게 투표를 받을 수 있음</t>
    <phoneticPr fontId="1" type="noConversion"/>
  </si>
  <si>
    <t>제출 과정</t>
    <phoneticPr fontId="6" type="noConversion"/>
  </si>
  <si>
    <t>제출 조건 미달</t>
    <phoneticPr fontId="1" type="noConversion"/>
  </si>
  <si>
    <t xml:space="preserve"> 배치한 리소스가 2000개 이상일 경우 → 토스트 메시지 출력: 더이상 배치가 불가능합니다.</t>
    <phoneticPr fontId="1" type="noConversion"/>
  </si>
  <si>
    <t xml:space="preserve"> 커스텀한 ID 카드가 0개일 경우 → 확인 버튼 비활성화</t>
    <phoneticPr fontId="1" type="noConversion"/>
  </si>
  <si>
    <t xml:space="preserve"> ID 카드에 포함된 대표 캐릭터가 2명 이상일 경우 → 토스트 메시지 출력: 더이상 배치가 불가능합니다.</t>
    <phoneticPr fontId="1" type="noConversion"/>
  </si>
  <si>
    <t>→ 확인 버튼 터치 시: 선택한 커스텀 ID 카드로 교체 및 투표 수 초기화 후 커스텀 대회 UI로 이동</t>
    <phoneticPr fontId="1" type="noConversion"/>
  </si>
  <si>
    <r>
      <rPr>
        <b/>
        <sz val="11"/>
        <color rgb="FF34383C"/>
        <rFont val="맑은 고딕"/>
        <family val="3"/>
        <charset val="129"/>
      </rPr>
      <t>1.1</t>
    </r>
    <r>
      <rPr>
        <b/>
        <sz val="11"/>
        <color rgb="FF1199ED"/>
        <rFont val="맑은 고딕"/>
        <family val="3"/>
        <charset val="129"/>
      </rPr>
      <t xml:space="preserve"> </t>
    </r>
    <r>
      <rPr>
        <b/>
        <sz val="11"/>
        <color rgb="FFF10D74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ID 카드 커스텀 대회 정의</t>
    </r>
    <phoneticPr fontId="6" type="noConversion"/>
  </si>
  <si>
    <r>
      <rPr>
        <b/>
        <sz val="11"/>
        <color rgb="FF34383C"/>
        <rFont val="맑은 고딕"/>
        <family val="3"/>
        <charset val="129"/>
      </rPr>
      <t>1.2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ED6011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기획 의도</t>
    </r>
    <phoneticPr fontId="6" type="noConversion"/>
  </si>
  <si>
    <t>- 캐릭터의 활동 영역을 한 층 확장하여 캐릭터들에 대한 애정도를 넓히고, 완전히 소외되는 캐릭터를 상대적으로 적게한다.</t>
    <phoneticPr fontId="1" type="noConversion"/>
  </si>
  <si>
    <t>- 기존 이미지와 캐릭터의 구성으로 사용하던 리소스를 활용하여 개발 기간과 비용을 절감한다.</t>
    <phoneticPr fontId="1" type="noConversion"/>
  </si>
  <si>
    <t>- ID 카드 커스텀 대회 개최로 총력전 이외에 유저들과 경쟁할 수 있는 콘텐츠를 추가한다.</t>
    <phoneticPr fontId="1" type="noConversion"/>
  </si>
  <si>
    <r>
      <rPr>
        <b/>
        <sz val="11"/>
        <color rgb="FF34383C"/>
        <rFont val="맑은 고딕"/>
        <family val="3"/>
        <charset val="129"/>
      </rPr>
      <t>2.1</t>
    </r>
    <r>
      <rPr>
        <b/>
        <sz val="11"/>
        <color rgb="FF1199ED"/>
        <rFont val="맑은 고딕"/>
        <family val="3"/>
        <charset val="129"/>
      </rPr>
      <t xml:space="preserve"> </t>
    </r>
    <r>
      <rPr>
        <b/>
        <sz val="11"/>
        <color rgb="FFF10D74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주요 기능</t>
    </r>
    <phoneticPr fontId="6" type="noConversion"/>
  </si>
  <si>
    <r>
      <rPr>
        <b/>
        <sz val="11"/>
        <color rgb="FF34383C"/>
        <rFont val="맑은 고딕"/>
        <family val="3"/>
        <charset val="129"/>
      </rPr>
      <t>2.2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ED6011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제출 조건</t>
    </r>
    <phoneticPr fontId="6" type="noConversion"/>
  </si>
  <si>
    <r>
      <rPr>
        <b/>
        <sz val="11"/>
        <color rgb="FF34383C"/>
        <rFont val="맑은 고딕"/>
        <family val="3"/>
        <charset val="129"/>
      </rPr>
      <t>2.3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C6B90A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제출 과정</t>
    </r>
    <phoneticPr fontId="6" type="noConversion"/>
  </si>
  <si>
    <r>
      <rPr>
        <b/>
        <sz val="11"/>
        <color rgb="FF34383C"/>
        <rFont val="맑은 고딕"/>
        <family val="3"/>
        <charset val="129"/>
      </rPr>
      <t>2.4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04C825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제출 순서도</t>
    </r>
    <phoneticPr fontId="6" type="noConversion"/>
  </si>
  <si>
    <r>
      <rPr>
        <b/>
        <sz val="11"/>
        <color rgb="FF34383C"/>
        <rFont val="맑은 고딕"/>
        <family val="3"/>
        <charset val="129"/>
      </rPr>
      <t>2.5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1199ED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투표 과정</t>
    </r>
    <phoneticPr fontId="6" type="noConversion"/>
  </si>
  <si>
    <t>투표 과정</t>
    <phoneticPr fontId="6" type="noConversion"/>
  </si>
  <si>
    <t xml:space="preserve"> 커스텀 대회 UI의 투표하기 버튼에서 시작</t>
    <phoneticPr fontId="1" type="noConversion"/>
  </si>
  <si>
    <t xml:space="preserve"> 투표 진행 UI로 이동</t>
    <phoneticPr fontId="1" type="noConversion"/>
  </si>
  <si>
    <t>투표 대상 선택</t>
    <phoneticPr fontId="1" type="noConversion"/>
  </si>
  <si>
    <t xml:space="preserve"> 투표하기 버튼을 터치하여 두 명의 유저 중 한 명에게 투표</t>
    <phoneticPr fontId="1" type="noConversion"/>
  </si>
  <si>
    <t>반복</t>
    <phoneticPr fontId="1" type="noConversion"/>
  </si>
  <si>
    <t xml:space="preserve"> 투표 대상 선택 과정 반복 (1일 최대 30회)</t>
    <phoneticPr fontId="1" type="noConversion"/>
  </si>
  <si>
    <t>이전 버튼</t>
    <phoneticPr fontId="1" type="noConversion"/>
  </si>
  <si>
    <t xml:space="preserve"> 투표 진행 UI 종료 → 커스텀 대회 UI로 이동</t>
    <phoneticPr fontId="1" type="noConversion"/>
  </si>
  <si>
    <t>홈 버튼</t>
    <phoneticPr fontId="1" type="noConversion"/>
  </si>
  <si>
    <t xml:space="preserve"> 투표 진행 UI 종료 → 메인 화면 UI로 이동</t>
    <phoneticPr fontId="1" type="noConversion"/>
  </si>
  <si>
    <t>투표 횟수 소진</t>
    <phoneticPr fontId="1" type="noConversion"/>
  </si>
  <si>
    <t xml:space="preserve"> 투표하기 버튼 비활성화</t>
    <phoneticPr fontId="1" type="noConversion"/>
  </si>
  <si>
    <t>투표 진행</t>
    <phoneticPr fontId="1" type="noConversion"/>
  </si>
  <si>
    <t>투표 진행 횟수 저장</t>
    <phoneticPr fontId="1" type="noConversion"/>
  </si>
  <si>
    <t>투표 대상</t>
    <phoneticPr fontId="1" type="noConversion"/>
  </si>
  <si>
    <r>
      <rPr>
        <b/>
        <sz val="11"/>
        <color rgb="FF34383C"/>
        <rFont val="맑은 고딕"/>
        <family val="3"/>
        <charset val="129"/>
      </rPr>
      <t>2.6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7030A0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투표 순서도</t>
    </r>
    <phoneticPr fontId="6" type="noConversion"/>
  </si>
  <si>
    <t xml:space="preserve"> 투표 대상에는 본인의 커스텀 ID 카드가 등장하지 않음</t>
    <phoneticPr fontId="1" type="noConversion"/>
  </si>
  <si>
    <t>- 10회 투표할 때마다 보상 지급 (1일 최대 3회 지급)</t>
    <phoneticPr fontId="1" type="noConversion"/>
  </si>
  <si>
    <r>
      <rPr>
        <b/>
        <sz val="11"/>
        <color rgb="FF34383C"/>
        <rFont val="맑은 고딕"/>
        <family val="3"/>
        <charset val="129"/>
      </rPr>
      <t>2.7</t>
    </r>
    <r>
      <rPr>
        <b/>
        <sz val="11"/>
        <color rgb="FF1199ED"/>
        <rFont val="맑은 고딕"/>
        <family val="3"/>
        <charset val="129"/>
      </rPr>
      <t xml:space="preserve"> </t>
    </r>
    <r>
      <rPr>
        <b/>
        <sz val="11"/>
        <color rgb="FFF10D74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투표 진행 보상 구성</t>
    </r>
    <phoneticPr fontId="6" type="noConversion"/>
  </si>
  <si>
    <t xml:space="preserve"> → 투표 10회 달성할 때마다 보상 지급 (1일 최대 3회)</t>
    <phoneticPr fontId="1" type="noConversion"/>
  </si>
  <si>
    <t>- 투표 10회마다 보상 지급 (랜덤이 아닌 고정 값)</t>
    <phoneticPr fontId="1" type="noConversion"/>
  </si>
  <si>
    <t>누적 투표 진행 횟수</t>
    <phoneticPr fontId="6" type="noConversion"/>
  </si>
  <si>
    <t>획득 보상</t>
    <phoneticPr fontId="6" type="noConversion"/>
  </si>
  <si>
    <t>10회</t>
    <phoneticPr fontId="1" type="noConversion"/>
  </si>
  <si>
    <t>AP X50</t>
    <phoneticPr fontId="1" type="noConversion"/>
  </si>
  <si>
    <t>3. UI 구성</t>
    <phoneticPr fontId="1" type="noConversion"/>
  </si>
  <si>
    <t>크레딧</t>
    <phoneticPr fontId="1" type="noConversion"/>
  </si>
  <si>
    <t>청휘석</t>
    <phoneticPr fontId="1" type="noConversion"/>
  </si>
  <si>
    <t>20회</t>
    <phoneticPr fontId="1" type="noConversion"/>
  </si>
  <si>
    <t>30회</t>
    <phoneticPr fontId="1" type="noConversion"/>
  </si>
  <si>
    <r>
      <rPr>
        <b/>
        <sz val="11"/>
        <color rgb="FF34383C"/>
        <rFont val="맑은 고딕"/>
        <family val="3"/>
        <charset val="129"/>
      </rPr>
      <t>2.8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ED6011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랭크 구성</t>
    </r>
    <phoneticPr fontId="6" type="noConversion"/>
  </si>
  <si>
    <r>
      <rPr>
        <b/>
        <sz val="18"/>
        <color theme="0"/>
        <rFont val="맑은 고딕"/>
        <family val="3"/>
        <charset val="129"/>
        <scheme val="minor"/>
      </rPr>
      <t>◈ 블루 아카이브</t>
    </r>
    <r>
      <rPr>
        <b/>
        <sz val="14"/>
        <color theme="7" tint="0.59999389629810485"/>
        <rFont val="맑은 고딕"/>
        <family val="3"/>
        <charset val="129"/>
        <scheme val="minor"/>
      </rPr>
      <t xml:space="preserve"> - ID 카드 커스텀 대회</t>
    </r>
    <phoneticPr fontId="1" type="noConversion"/>
  </si>
  <si>
    <t>- 랭크는 총 4개로 구성되어 있다.</t>
    <phoneticPr fontId="1" type="noConversion"/>
  </si>
  <si>
    <t>- 대회에 커스텀 ID 카드를 제출하지 않은 상태일 경우(참가하지 않은 상태) 랭크에 포함되지 않는다.</t>
    <phoneticPr fontId="1" type="noConversion"/>
  </si>
  <si>
    <t>- 랭크 달성 시 보상 획득 (청휘석)</t>
    <phoneticPr fontId="1" type="noConversion"/>
  </si>
  <si>
    <t>등급</t>
    <phoneticPr fontId="6" type="noConversion"/>
  </si>
  <si>
    <t>순위</t>
    <phoneticPr fontId="6" type="noConversion"/>
  </si>
  <si>
    <t>플래티넘</t>
    <phoneticPr fontId="1" type="noConversion"/>
  </si>
  <si>
    <t>골드</t>
    <phoneticPr fontId="1" type="noConversion"/>
  </si>
  <si>
    <t>실버</t>
    <phoneticPr fontId="1" type="noConversion"/>
  </si>
  <si>
    <t>브론즈</t>
    <phoneticPr fontId="1" type="noConversion"/>
  </si>
  <si>
    <t>해당 없음</t>
    <phoneticPr fontId="1" type="noConversion"/>
  </si>
  <si>
    <t>보상</t>
    <phoneticPr fontId="6" type="noConversion"/>
  </si>
  <si>
    <t>1200개</t>
    <phoneticPr fontId="1" type="noConversion"/>
  </si>
  <si>
    <t>600개</t>
    <phoneticPr fontId="1" type="noConversion"/>
  </si>
  <si>
    <r>
      <rPr>
        <b/>
        <sz val="11"/>
        <color rgb="FF34383C"/>
        <rFont val="맑은 고딕"/>
        <family val="3"/>
        <charset val="129"/>
      </rPr>
      <t>3.1</t>
    </r>
    <r>
      <rPr>
        <b/>
        <sz val="11"/>
        <color rgb="FF1199ED"/>
        <rFont val="맑은 고딕"/>
        <family val="3"/>
        <charset val="129"/>
      </rPr>
      <t xml:space="preserve"> </t>
    </r>
    <r>
      <rPr>
        <b/>
        <sz val="11"/>
        <color rgb="FFF10D74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ID 카드 커스텀 대회 진입 방법</t>
    </r>
    <phoneticPr fontId="6" type="noConversion"/>
  </si>
  <si>
    <t xml:space="preserve"> 커스텀 대회 UI의 제출하기 버튼에서 시작</t>
    <phoneticPr fontId="1" type="noConversion"/>
  </si>
  <si>
    <t xml:space="preserve"> → 팝업 창 출력: 선택한 ID 카드로 교체하시겠습니까?</t>
    <phoneticPr fontId="1" type="noConversion"/>
  </si>
  <si>
    <t xml:space="preserve"> 제출한 커스텀 ID 카드가 이미 존재할 경우</t>
    <phoneticPr fontId="1" type="noConversion"/>
  </si>
  <si>
    <t>1. 메인 메뉴에서 업무 버튼 터치</t>
    <phoneticPr fontId="1" type="noConversion"/>
  </si>
  <si>
    <t>2. 업무 UI에서 커스텀 대회 버튼 터치</t>
    <phoneticPr fontId="1" type="noConversion"/>
  </si>
  <si>
    <t>3. ID 카드 커스텀 대회 진입</t>
    <phoneticPr fontId="1" type="noConversion"/>
  </si>
  <si>
    <r>
      <rPr>
        <b/>
        <sz val="11"/>
        <color rgb="FF34383C"/>
        <rFont val="맑은 고딕"/>
        <family val="3"/>
        <charset val="129"/>
      </rPr>
      <t>3.2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ED6011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ID 카드 커스텀 대회 UI 구성</t>
    </r>
    <phoneticPr fontId="6" type="noConversion"/>
  </si>
  <si>
    <t>번호</t>
    <phoneticPr fontId="6" type="noConversion"/>
  </si>
  <si>
    <t xml:space="preserve"> 터치 시 이전 UI (업무)로 돌아간다.</t>
    <phoneticPr fontId="1" type="noConversion"/>
  </si>
  <si>
    <t>콘텐츠 제목</t>
    <phoneticPr fontId="1" type="noConversion"/>
  </si>
  <si>
    <t xml:space="preserve"> 콘텐츠 제목 표시. [물음표 버튼]을 터치 시 해당 컨텐츠의 설명 팝업을 출력한다.</t>
    <phoneticPr fontId="1" type="noConversion"/>
  </si>
  <si>
    <t>재화 목록</t>
    <phoneticPr fontId="1" type="noConversion"/>
  </si>
  <si>
    <t xml:space="preserve"> AP / 크레딧 / 청휘석을 확인할 수 있는 탭이다. [+] 터치 시 충전도 가능하다.</t>
    <phoneticPr fontId="1" type="noConversion"/>
  </si>
  <si>
    <t>설정 버튼</t>
    <phoneticPr fontId="1" type="noConversion"/>
  </si>
  <si>
    <t xml:space="preserve"> 터치 시 인게임 설정 팝업을 출력한다.</t>
    <phoneticPr fontId="1" type="noConversion"/>
  </si>
  <si>
    <t xml:space="preserve"> 터치 시 메인 메뉴로 돌아간다.</t>
    <phoneticPr fontId="1" type="noConversion"/>
  </si>
  <si>
    <t>유저 프로필</t>
    <phoneticPr fontId="1" type="noConversion"/>
  </si>
  <si>
    <t>투표 가능 횟수</t>
    <phoneticPr fontId="1" type="noConversion"/>
  </si>
  <si>
    <t>투표 달성 보상 버튼</t>
    <phoneticPr fontId="1" type="noConversion"/>
  </si>
  <si>
    <t>현재 랭크 및 순위</t>
    <phoneticPr fontId="1" type="noConversion"/>
  </si>
  <si>
    <t>시즌 기간</t>
    <phoneticPr fontId="1" type="noConversion"/>
  </si>
  <si>
    <t>제출하기 버튼</t>
    <phoneticPr fontId="1" type="noConversion"/>
  </si>
  <si>
    <t>투표하기 버튼</t>
    <phoneticPr fontId="1" type="noConversion"/>
  </si>
  <si>
    <t>제출한 커스텀 ID 카드</t>
    <phoneticPr fontId="1" type="noConversion"/>
  </si>
  <si>
    <t xml:space="preserve"> 유저의 프로필 사진, 닉네임, 현재 레벨 및 경험치를 표시한다.</t>
    <phoneticPr fontId="1" type="noConversion"/>
  </si>
  <si>
    <t xml:space="preserve"> 현재 랭크의 아이콘과 순위, 타 유저에게 받은 누적 투표 수를 표시한다.</t>
    <phoneticPr fontId="1" type="noConversion"/>
  </si>
  <si>
    <t xml:space="preserve"> 투표 가능 횟수를 표시한다. (남은 투표 가능 횟수/일일 투표 가능 횟수)</t>
    <phoneticPr fontId="1" type="noConversion"/>
  </si>
  <si>
    <t xml:space="preserve"> 투표 횟수 10회마다 보상 획득 가능하며, 버튼 활성화.</t>
    <phoneticPr fontId="1" type="noConversion"/>
  </si>
  <si>
    <t xml:space="preserve"> → 버튼 비활성의 경우: 보상 모두 수령 시, 투표 수를 달성하지 않았을 때</t>
    <phoneticPr fontId="1" type="noConversion"/>
  </si>
  <si>
    <t xml:space="preserve"> 시즌 운영 날짜와 시간을 표시한다.</t>
    <phoneticPr fontId="1" type="noConversion"/>
  </si>
  <si>
    <t xml:space="preserve"> 터치 시 ID 카드 커스텀 UI로 이동하며, ID 카드를 제작하거나 제출할 수 있다.</t>
    <phoneticPr fontId="1" type="noConversion"/>
  </si>
  <si>
    <t xml:space="preserve"> 터치 시 투표 진행 UI로 이동하며, 타 유저들을 투표할 수 있다.</t>
    <phoneticPr fontId="1" type="noConversion"/>
  </si>
  <si>
    <t xml:space="preserve"> → 투표 가능 횟수 모두 소진 시, 해당 버튼은 비활성화 처리 된다.</t>
    <phoneticPr fontId="1" type="noConversion"/>
  </si>
  <si>
    <t xml:space="preserve"> 유저가 제출한 커스텀 ID 카드를 표시한다.</t>
    <phoneticPr fontId="1" type="noConversion"/>
  </si>
  <si>
    <t>닉네임</t>
    <phoneticPr fontId="1" type="noConversion"/>
  </si>
  <si>
    <t>레벨</t>
    <phoneticPr fontId="1" type="noConversion"/>
  </si>
  <si>
    <t>1413/2929</t>
    <phoneticPr fontId="1" type="noConversion"/>
  </si>
  <si>
    <t>시즌 현재 순위</t>
    <phoneticPr fontId="1" type="noConversion"/>
  </si>
  <si>
    <t>시즌 누적 투표 수</t>
    <phoneticPr fontId="1" type="noConversion"/>
  </si>
  <si>
    <t>{0}위</t>
    <phoneticPr fontId="1" type="noConversion"/>
  </si>
  <si>
    <t>{1} 점</t>
    <phoneticPr fontId="1" type="noConversion"/>
  </si>
  <si>
    <t>투표 가능 횟수 20/30</t>
  </si>
  <si>
    <t>투표 가능 횟수 20/30</t>
    <phoneticPr fontId="1" type="noConversion"/>
  </si>
  <si>
    <t>08/09 12:30 ~ 08/15 23:59</t>
    <phoneticPr fontId="1" type="noConversion"/>
  </si>
  <si>
    <t>보상 받기</t>
    <phoneticPr fontId="1" type="noConversion"/>
  </si>
  <si>
    <t>제출하기</t>
    <phoneticPr fontId="1" type="noConversion"/>
  </si>
  <si>
    <t>투표하기</t>
    <phoneticPr fontId="1" type="noConversion"/>
  </si>
  <si>
    <r>
      <rPr>
        <b/>
        <sz val="11"/>
        <color rgb="FF34383C"/>
        <rFont val="맑은 고딕"/>
        <family val="3"/>
        <charset val="129"/>
      </rPr>
      <t>3.3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C6B90A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커스텀 ID 카드 제작 UI 구성</t>
    </r>
    <phoneticPr fontId="6" type="noConversion"/>
  </si>
  <si>
    <t>대표 캐릭터</t>
    <phoneticPr fontId="1" type="noConversion"/>
  </si>
  <si>
    <t>표시 정보</t>
    <phoneticPr fontId="1" type="noConversion"/>
  </si>
  <si>
    <t>ID 카드 커스텀 화면</t>
    <phoneticPr fontId="1" type="noConversion"/>
  </si>
  <si>
    <t>배치 제한 0/2000</t>
    <phoneticPr fontId="1" type="noConversion"/>
  </si>
  <si>
    <t>리소스 목록</t>
    <phoneticPr fontId="1" type="noConversion"/>
  </si>
  <si>
    <t>리소스 배치 제한 개수</t>
    <phoneticPr fontId="1" type="noConversion"/>
  </si>
  <si>
    <t>되돌리기 버튼 (뒤, 앞)</t>
    <phoneticPr fontId="1" type="noConversion"/>
  </si>
  <si>
    <t>휴지통 버튼</t>
    <phoneticPr fontId="1" type="noConversion"/>
  </si>
  <si>
    <t>미리보기 버튼</t>
    <phoneticPr fontId="1" type="noConversion"/>
  </si>
  <si>
    <t>프리셋 버튼</t>
    <phoneticPr fontId="1" type="noConversion"/>
  </si>
  <si>
    <t>초기화 버튼</t>
    <phoneticPr fontId="1" type="noConversion"/>
  </si>
  <si>
    <t xml:space="preserve"> 상·하 방향으로 스크롤되며 표시한다.</t>
    <phoneticPr fontId="1" type="noConversion"/>
  </si>
  <si>
    <t xml:space="preserve"> 리소스를 배치할 수 있는 화면이다.</t>
    <phoneticPr fontId="1" type="noConversion"/>
  </si>
  <si>
    <t xml:space="preserve"> 배치 제한 개수를 표시한다. (현재 배치한 리소스 개수/최대 리소스 개수)</t>
    <phoneticPr fontId="1" type="noConversion"/>
  </si>
  <si>
    <t xml:space="preserve"> 앞으로 되돌리기 버튼 터치 시, 터치 1회 당 앞으로 1번 되돌리기</t>
    <phoneticPr fontId="1" type="noConversion"/>
  </si>
  <si>
    <t xml:space="preserve"> 뒤로 되돌리기 버튼 터치 시, 터치 1회 당 뒤로 1번 되돌리기</t>
    <phoneticPr fontId="1" type="noConversion"/>
  </si>
  <si>
    <t xml:space="preserve"> 터치 시 ID 카드 커스텀 화면에서 선택된 1개의 리소스를 삭제한다.</t>
    <phoneticPr fontId="1" type="noConversion"/>
  </si>
  <si>
    <t xml:space="preserve"> 터치 시 나머지 UI는 제거되고 ID 카드 커스텀 화면만 크게 표시한다.</t>
    <phoneticPr fontId="1" type="noConversion"/>
  </si>
  <si>
    <t xml:space="preserve"> 터치 시 프리셋이 저장되어 있는 프리셋 UI로 이동한다</t>
    <phoneticPr fontId="1" type="noConversion"/>
  </si>
  <si>
    <t xml:space="preserve"> → 저장된 프리셋이 0개여도 이동 가능하다.</t>
    <phoneticPr fontId="1" type="noConversion"/>
  </si>
  <si>
    <t xml:space="preserve"> → 배치된 리소스가 0개여도 미리보기가 가능하다.</t>
    <phoneticPr fontId="1" type="noConversion"/>
  </si>
  <si>
    <t xml:space="preserve"> → 팝업 창: ID 카드를 초기화 하시겠습니까?</t>
    <phoneticPr fontId="1" type="noConversion"/>
  </si>
  <si>
    <t xml:space="preserve"> → 팝업 창: 선택한 ID 카드를 제출하시겠습니까?</t>
    <phoneticPr fontId="1" type="noConversion"/>
  </si>
  <si>
    <t xml:space="preserve"> → 취소 버튼: 초기화 취소 및 팝업 창 종료 / 확인 버튼: 초기화 진행</t>
    <phoneticPr fontId="1" type="noConversion"/>
  </si>
  <si>
    <t xml:space="preserve"> → 취소 버튼: 팝업 창 종료 / 확인 버튼: 제출 완료 및 타 유저가 투표 시작</t>
    <phoneticPr fontId="1" type="noConversion"/>
  </si>
  <si>
    <t>미리보기</t>
    <phoneticPr fontId="1" type="noConversion"/>
  </si>
  <si>
    <t>프리셋</t>
    <phoneticPr fontId="1" type="noConversion"/>
  </si>
  <si>
    <t>초기화</t>
    <phoneticPr fontId="1" type="noConversion"/>
  </si>
  <si>
    <t>제출</t>
    <phoneticPr fontId="1" type="noConversion"/>
  </si>
  <si>
    <r>
      <rPr>
        <b/>
        <sz val="11"/>
        <color rgb="FF34383C"/>
        <rFont val="맑은 고딕"/>
        <family val="3"/>
        <charset val="129"/>
      </rPr>
      <t>3.4</t>
    </r>
    <r>
      <rPr>
        <b/>
        <sz val="11"/>
        <color rgb="FFF10D74"/>
        <rFont val="맑은 고딕"/>
        <family val="3"/>
        <charset val="129"/>
      </rPr>
      <t xml:space="preserve"> </t>
    </r>
    <r>
      <rPr>
        <b/>
        <sz val="11"/>
        <color rgb="FF04C825"/>
        <rFont val="맑은 고딕"/>
        <family val="3"/>
        <charset val="129"/>
      </rPr>
      <t>|</t>
    </r>
    <r>
      <rPr>
        <b/>
        <sz val="11"/>
        <color rgb="FFEBE5D9"/>
        <rFont val="맑은 고딕"/>
        <family val="3"/>
        <charset val="129"/>
      </rPr>
      <t xml:space="preserve"> </t>
    </r>
    <r>
      <rPr>
        <b/>
        <sz val="11"/>
        <color rgb="FF34383C"/>
        <rFont val="맑은 고딕"/>
        <family val="3"/>
        <charset val="129"/>
      </rPr>
      <t>투표 UI 구성</t>
    </r>
    <phoneticPr fontId="6" type="noConversion"/>
  </si>
  <si>
    <t>유저 닉네임</t>
    <phoneticPr fontId="1" type="noConversion"/>
  </si>
  <si>
    <t>타 유저 커스텀 ID 카드</t>
    <phoneticPr fontId="1" type="noConversion"/>
  </si>
  <si>
    <t>해당 유저의 닉네임</t>
    <phoneticPr fontId="1" type="noConversion"/>
  </si>
  <si>
    <t>보상 받기 버튼</t>
    <phoneticPr fontId="1" type="noConversion"/>
  </si>
  <si>
    <t xml:space="preserve"> 타 유저의 커스텀 ID 카드를 표시한다.</t>
    <phoneticPr fontId="1" type="noConversion"/>
  </si>
  <si>
    <t>타 유저의 커스텀 ID 카드</t>
    <phoneticPr fontId="1" type="noConversion"/>
  </si>
  <si>
    <t xml:space="preserve"> 해당 유저의 닉네임을 표시한다.</t>
    <phoneticPr fontId="1" type="noConversion"/>
  </si>
  <si>
    <t xml:space="preserve"> 터치 시 해당 유저에게 투표 1표를 지급하고, [+1 말풍선]을 1초간 표시한다.</t>
    <phoneticPr fontId="1" type="noConversion"/>
  </si>
  <si>
    <t xml:space="preserve"> → 표를 받은 유저의 커스텀 ID 카드 중앙에 +1 말풍선을 1초간 표시 후</t>
    <phoneticPr fontId="1" type="noConversion"/>
  </si>
  <si>
    <t xml:space="preserve"> → 두 유저의 커스텀 ID 카드 중앙에 받은 투표 수를 3초간 표시한다.</t>
    <phoneticPr fontId="1" type="noConversion"/>
  </si>
  <si>
    <t xml:space="preserve"> 투표하기 버튼 터치 후 자동으로 다음 유저들의 ID 카드와 닉네임을 표시한다.</t>
    <phoneticPr fontId="1" type="noConversion"/>
  </si>
  <si>
    <t xml:space="preserve"> 투표 횟수 10회 달성 시, 버튼이 활성화 되며 보상을 획득할 수 있다.</t>
    <phoneticPr fontId="1" type="noConversion"/>
  </si>
  <si>
    <t xml:space="preserve"> 투표 가능 횟수 모두 소진 시, 해당 버튼은 비활성화 처리 된다.</t>
    <phoneticPr fontId="1" type="noConversion"/>
  </si>
  <si>
    <t>2. ID 카드 커스텀 대회 상세 기획</t>
    <phoneticPr fontId="1" type="noConversion"/>
  </si>
  <si>
    <t>· 목차</t>
    <phoneticPr fontId="1" type="noConversion"/>
  </si>
  <si>
    <t>개요</t>
    <phoneticPr fontId="1" type="noConversion"/>
  </si>
  <si>
    <t>1.1 ID 카드 커스텀 대회 정의</t>
    <phoneticPr fontId="1" type="noConversion"/>
  </si>
  <si>
    <t>ID 카드 커스텀 대회 상세 기획</t>
    <phoneticPr fontId="1" type="noConversion"/>
  </si>
  <si>
    <t>2.1 주요 기능</t>
    <phoneticPr fontId="1" type="noConversion"/>
  </si>
  <si>
    <t>2.2 제출 조건</t>
    <phoneticPr fontId="1" type="noConversion"/>
  </si>
  <si>
    <t>2.3 제출 과정</t>
    <phoneticPr fontId="1" type="noConversion"/>
  </si>
  <si>
    <t>2.4 제출 순서도</t>
    <phoneticPr fontId="1" type="noConversion"/>
  </si>
  <si>
    <t>2.5 투표 과정</t>
    <phoneticPr fontId="1" type="noConversion"/>
  </si>
  <si>
    <t>2.6 투표 순서도</t>
    <phoneticPr fontId="1" type="noConversion"/>
  </si>
  <si>
    <t>2.7 투표 진행 보상 구성</t>
    <phoneticPr fontId="1" type="noConversion"/>
  </si>
  <si>
    <t>2.8 랭크 구성</t>
    <phoneticPr fontId="1" type="noConversion"/>
  </si>
  <si>
    <t>UI 구성</t>
    <phoneticPr fontId="1" type="noConversion"/>
  </si>
  <si>
    <t>3.1 ID 카드 커스텀 대회 진입 방법</t>
    <phoneticPr fontId="1" type="noConversion"/>
  </si>
  <si>
    <t>3.2 ID 카드 커스텀 대회 UI 구성</t>
    <phoneticPr fontId="1" type="noConversion"/>
  </si>
  <si>
    <t>3.3 커스텀 ID 카드 제작 UI 구성</t>
    <phoneticPr fontId="1" type="noConversion"/>
  </si>
  <si>
    <t>3.4 투표 UI 구성</t>
    <phoneticPr fontId="1" type="noConversion"/>
  </si>
  <si>
    <t>테이블 구성</t>
    <phoneticPr fontId="1" type="noConversion"/>
  </si>
  <si>
    <t>- ID 카드 커스텀 대회 보상으로 청휘석과 여러 아이템을 제공하여 콘텐츠 참여 의욕을 증가시킨다.</t>
    <phoneticPr fontId="1" type="noConversion"/>
  </si>
  <si>
    <r>
      <t xml:space="preserve">→ 본인의 커스텀 ID 카드를 </t>
    </r>
    <r>
      <rPr>
        <u/>
        <sz val="10"/>
        <color rgb="FF34383C"/>
        <rFont val="맑은 고딕"/>
        <family val="3"/>
        <charset val="129"/>
        <scheme val="minor"/>
      </rPr>
      <t>제출하지 않아도</t>
    </r>
    <r>
      <rPr>
        <sz val="10"/>
        <color rgb="FF34383C"/>
        <rFont val="맑은 고딕"/>
        <family val="2"/>
        <charset val="129"/>
        <scheme val="minor"/>
      </rPr>
      <t xml:space="preserve"> 타 유저의 ID 카드 투표에 참여할 수 있다.</t>
    </r>
    <phoneticPr fontId="1" type="noConversion"/>
  </si>
  <si>
    <t>- 1주일의 개최 기간이 지나면 유저의 순위 범위와 랭크를 집계 기간동안 정산하여 순위에 맞게 보상을 지급한다.</t>
    <phoneticPr fontId="1" type="noConversion"/>
  </si>
  <si>
    <t>- 대표 캐릭터 1명이 반드시 포함되어 있어야 한다. (0명 혹은 1명을 초과하여 배치는 불가능)</t>
    <phoneticPr fontId="1" type="noConversion"/>
  </si>
  <si>
    <t>※ 위 이미지들은 포토샵으로 직접 제작한 이미지입니다.</t>
    <phoneticPr fontId="1" type="noConversion"/>
  </si>
  <si>
    <t>&lt;커스텀 대회 UI&gt;</t>
    <phoneticPr fontId="1" type="noConversion"/>
  </si>
  <si>
    <t>&lt;ID 카드 커스텀 UI&gt;</t>
    <phoneticPr fontId="1" type="noConversion"/>
  </si>
  <si>
    <t xml:space="preserve"> → 하루 0회~30회 진행 가능 (투표 30회 진행 완료 시 자동으로 우편함에 보상 지급)</t>
    <phoneticPr fontId="1" type="noConversion"/>
  </si>
  <si>
    <t xml:space="preserve"> → 이탈의 경우: 이전 버튼 터치, 게임 종료, 접속 대기 시간 초과, 기기 종료 (한국시간 오전 4시 이후 재접속 시 무효)</t>
    <phoneticPr fontId="1" type="noConversion"/>
  </si>
  <si>
    <t xml:space="preserve"> 타 유저는 중복되서 등장할 수 없음</t>
    <phoneticPr fontId="1" type="noConversion"/>
  </si>
  <si>
    <t xml:space="preserve"> → 이펙트 출력: +1 말풍선 및 두 유저들이 받은 투표 수 표시</t>
    <phoneticPr fontId="1" type="noConversion"/>
  </si>
  <si>
    <t>- 누적 투표 진행 횟수 달성 시 보상은 자동으로 우편으로 지급 (1일 최대 3회)</t>
    <phoneticPr fontId="1" type="noConversion"/>
  </si>
  <si>
    <t>1위~1,000위</t>
    <phoneticPr fontId="1" type="noConversion"/>
  </si>
  <si>
    <t>1,001위~5,000위</t>
    <phoneticPr fontId="1" type="noConversion"/>
  </si>
  <si>
    <t>5,001위~10,000위</t>
    <phoneticPr fontId="1" type="noConversion"/>
  </si>
  <si>
    <t>10,001위~</t>
    <phoneticPr fontId="1" type="noConversion"/>
  </si>
  <si>
    <t>900개</t>
    <phoneticPr fontId="1" type="noConversion"/>
  </si>
  <si>
    <t>300개</t>
    <phoneticPr fontId="1" type="noConversion"/>
  </si>
  <si>
    <t>아이디</t>
  </si>
  <si>
    <t>#아이템 이름</t>
  </si>
  <si>
    <t>ID</t>
  </si>
  <si>
    <t>ITEM_NAME</t>
  </si>
  <si>
    <t>int</t>
  </si>
  <si>
    <t>참조</t>
  </si>
  <si>
    <t>시작 날짜</t>
    <phoneticPr fontId="1" type="noConversion"/>
  </si>
  <si>
    <t>시작 시간</t>
    <phoneticPr fontId="1" type="noConversion"/>
  </si>
  <si>
    <t>START_DATE</t>
    <phoneticPr fontId="1" type="noConversion"/>
  </si>
  <si>
    <t>START_TIME</t>
    <phoneticPr fontId="1" type="noConversion"/>
  </si>
  <si>
    <t>종료 날짜</t>
    <phoneticPr fontId="1" type="noConversion"/>
  </si>
  <si>
    <t>종료 시간</t>
    <phoneticPr fontId="1" type="noConversion"/>
  </si>
  <si>
    <t>END_DATE</t>
    <phoneticPr fontId="1" type="noConversion"/>
  </si>
  <si>
    <t>END_TIME</t>
    <phoneticPr fontId="1" type="noConversion"/>
  </si>
  <si>
    <t>아이템 구분</t>
  </si>
  <si>
    <t>아이템 타입</t>
  </si>
  <si>
    <t>누적 수량</t>
  </si>
  <si>
    <t>ITEM_FILTER</t>
  </si>
  <si>
    <t>ITEM_TYPE</t>
  </si>
  <si>
    <t>STACK</t>
  </si>
  <si>
    <t>시로코의 엘레프</t>
  </si>
  <si>
    <t>호시노의 엘레프</t>
  </si>
  <si>
    <t>세리카의 엘레프</t>
  </si>
  <si>
    <t>노노미의 엘레프</t>
  </si>
  <si>
    <t>아야네의 엘레프</t>
  </si>
  <si>
    <t>아루의 엘레프</t>
  </si>
  <si>
    <t>무츠키의 엘레프</t>
  </si>
  <si>
    <t>카요코의 엘레프</t>
  </si>
  <si>
    <t>하루카의 엘레프</t>
  </si>
  <si>
    <t>히나의 엘레프</t>
  </si>
  <si>
    <t>아코의 엘레프</t>
  </si>
  <si>
    <t>이오리의 엘레프</t>
  </si>
  <si>
    <t>치나츠의 엘레프</t>
  </si>
  <si>
    <t>하루나의 엘레프</t>
  </si>
  <si>
    <t>준코의 엘레프</t>
  </si>
  <si>
    <t>이즈미의 엘레프</t>
  </si>
  <si>
    <t>아카리의 엘레프</t>
  </si>
  <si>
    <t>후우카의 엘레프</t>
  </si>
  <si>
    <t>주리의 엘레프</t>
  </si>
  <si>
    <t>세나의 엘레프</t>
  </si>
  <si>
    <t>이로하의 엘레프</t>
  </si>
  <si>
    <t>메구의 엘레프</t>
  </si>
  <si>
    <t>노아의 엘레프</t>
  </si>
  <si>
    <t>유우카의 엘레프</t>
  </si>
  <si>
    <t>코유키의 엘레프</t>
  </si>
  <si>
    <t>치히로의 엘레프</t>
  </si>
  <si>
    <t>하레의 엘레프</t>
  </si>
  <si>
    <t>미카의 엘레프</t>
  </si>
  <si>
    <t>코타마의 엘레프</t>
  </si>
  <si>
    <t>네루의 엘레프</t>
  </si>
  <si>
    <t>아스나의 엘레프</t>
  </si>
  <si>
    <t>카린의 엘레프</t>
  </si>
  <si>
    <t>아카네의 엘레프</t>
  </si>
  <si>
    <t>토키의 엘레프</t>
  </si>
  <si>
    <t>우타하의 엘레프</t>
  </si>
  <si>
    <t>히비키의 엘레프</t>
  </si>
  <si>
    <t>코토리의 엘레프</t>
  </si>
  <si>
    <t>스미레의 엘레프</t>
  </si>
  <si>
    <t>히마리의 엘레프</t>
  </si>
  <si>
    <t>에이미의 엘레프</t>
  </si>
  <si>
    <t>아리스의 엘레프</t>
  </si>
  <si>
    <t>모모이의 엘레프</t>
  </si>
  <si>
    <t>미도리의 엘레프</t>
  </si>
  <si>
    <t>유즈의 엘레프</t>
  </si>
  <si>
    <t>히후미의 엘레프</t>
  </si>
  <si>
    <t>하나코의 엘레프</t>
  </si>
  <si>
    <t>아즈사의 엘레프</t>
  </si>
  <si>
    <t>코하루의 엘레프</t>
  </si>
  <si>
    <t>스즈미의 엘레프</t>
  </si>
  <si>
    <t>레이사의 엘레프</t>
  </si>
  <si>
    <t>우이의 엘레프</t>
  </si>
  <si>
    <t>시미코의 엘레프</t>
  </si>
  <si>
    <t>요시미의 엘레프</t>
  </si>
  <si>
    <t>아이리의 엘레프</t>
  </si>
  <si>
    <t>카즈사의 엘레프</t>
  </si>
  <si>
    <t>나츠의 엘레프</t>
  </si>
  <si>
    <t>미네의 엘레프</t>
  </si>
  <si>
    <t>세리나의 엘레프</t>
  </si>
  <si>
    <t>하나에의 엘레프</t>
  </si>
  <si>
    <t>츠루기의 엘레프</t>
  </si>
  <si>
    <t>하스미의 엘레프</t>
  </si>
  <si>
    <t>마시로의 엘레프</t>
  </si>
  <si>
    <t>시즈코의 엘레프</t>
  </si>
  <si>
    <t>피나의 엘레프</t>
  </si>
  <si>
    <t>츠바키의 엘레프</t>
  </si>
  <si>
    <t>미모리의 엘레프</t>
  </si>
  <si>
    <t>카에데의 엘레프</t>
  </si>
  <si>
    <t>카호의 엘레프</t>
  </si>
  <si>
    <t>치세의 엘레프</t>
  </si>
  <si>
    <t>미치루의 엘레프</t>
  </si>
  <si>
    <t>이즈나의 엘레프</t>
  </si>
  <si>
    <t>츠쿠요의 엘레프</t>
  </si>
  <si>
    <t>와카모의 엘레프</t>
  </si>
  <si>
    <t>사야의 엘레프</t>
  </si>
  <si>
    <t>슌의 엘레프</t>
  </si>
  <si>
    <t>코코나의 엘레프</t>
  </si>
  <si>
    <t>루미의 엘레프</t>
  </si>
  <si>
    <t>미나의 엘레프</t>
  </si>
  <si>
    <t>체리노의 엘레프</t>
  </si>
  <si>
    <t>토모에의 엘레프</t>
  </si>
  <si>
    <t>마리나의 엘레프</t>
  </si>
  <si>
    <t>노도카의 엘레프</t>
  </si>
  <si>
    <t>시구레의 엘레프</t>
  </si>
  <si>
    <t>미노리의 엘레프</t>
  </si>
  <si>
    <t>키리노의 엘레프</t>
  </si>
  <si>
    <t>후부키의 엘레프</t>
  </si>
  <si>
    <t>칸나의 엘레프</t>
  </si>
  <si>
    <t>미야코의 엘레프</t>
  </si>
  <si>
    <t>사키의 엘레프</t>
  </si>
  <si>
    <t>모에의 엘레프</t>
  </si>
  <si>
    <t>미유의 엘레프</t>
  </si>
  <si>
    <t>사오리의 엘레프</t>
  </si>
  <si>
    <t>아츠코의 엘레프</t>
  </si>
  <si>
    <t>미사키의 엘레프</t>
  </si>
  <si>
    <t>히요리의 엘레프</t>
  </si>
  <si>
    <t>미쿠의 엘레프</t>
  </si>
  <si>
    <t>엘리그마</t>
  </si>
  <si>
    <t>총력전 코인</t>
  </si>
  <si>
    <t>상급 총력전 코인</t>
  </si>
  <si>
    <t>종합전술시험 코인</t>
  </si>
  <si>
    <t>현상수배 코인</t>
  </si>
  <si>
    <t>작전 데이터1: D Type</t>
  </si>
  <si>
    <t>작전 데이터2: D-X Type</t>
  </si>
  <si>
    <t>초급 활동 보고서</t>
  </si>
  <si>
    <t>일반 활동 보고서</t>
  </si>
  <si>
    <t>상급 활동 보고서</t>
  </si>
  <si>
    <t>최상급 활동 보고서</t>
  </si>
  <si>
    <t>부스터 티켓</t>
  </si>
  <si>
    <t>기초 합성용 기동석</t>
  </si>
  <si>
    <t>일반 합성용 기동석</t>
  </si>
  <si>
    <t>상급 합성용 기동석</t>
  </si>
  <si>
    <t>최상급 합성용 기동석</t>
  </si>
  <si>
    <t>기동석 조각</t>
  </si>
  <si>
    <t>기동석</t>
  </si>
  <si>
    <t>제조용 마테리얼 초급</t>
  </si>
  <si>
    <t>제조용 마테리얼 중급</t>
  </si>
  <si>
    <t>제조용 마테리얼 상급</t>
  </si>
  <si>
    <t>기초 전술 교육 BD (아비도스)</t>
  </si>
  <si>
    <t>기초 전술 교육 BD (게헨나)</t>
  </si>
  <si>
    <t>기초 전술 교육 BD (밀레니엄)</t>
  </si>
  <si>
    <t>기초 전술 교육 BD (트리니티)</t>
  </si>
  <si>
    <t>기초 전술 교육 BD (백귀야행)</t>
  </si>
  <si>
    <t>기초 전술 교육 BD (산해경)</t>
  </si>
  <si>
    <t>기초 전술 교육 BD (붉은겨울)</t>
  </si>
  <si>
    <t>기초 전술 교육 BD (발키리)</t>
  </si>
  <si>
    <t>기초 전술 교육 BD (SRT)</t>
  </si>
  <si>
    <t>기초 전술 교육 BD (아리우스)</t>
  </si>
  <si>
    <t>일반 전술 교육 BD (아비도스)</t>
  </si>
  <si>
    <t>일반 전술 교육 BD (게헨나)</t>
  </si>
  <si>
    <t>일반 전술 교육 BD (밀레니엄)</t>
  </si>
  <si>
    <t>일반 전술 교육 BD (트리니티)</t>
  </si>
  <si>
    <t>일반 전술 교육 BD (백귀야행)</t>
  </si>
  <si>
    <t>일반 전술 교육 BD (산해경)</t>
  </si>
  <si>
    <t>일반 전술 교육 BD (붉은겨울)</t>
  </si>
  <si>
    <t>일반 전술 교육 BD (발키리)</t>
  </si>
  <si>
    <t>일반 전술 교육 BD (SRT)</t>
  </si>
  <si>
    <t>일반 전술 교육 BD (아리우스)</t>
  </si>
  <si>
    <t>상급 전술 교육 BD (아비도스)</t>
  </si>
  <si>
    <t>상급 전술 교육 BD (게헨나)</t>
  </si>
  <si>
    <t>상급 전술 교육 BD (밀레니엄)</t>
  </si>
  <si>
    <t>상급 전술 교육 BD (트리니티)</t>
  </si>
  <si>
    <t>상급 전술 교육 BD (백귀야행)</t>
  </si>
  <si>
    <t>상급 전술 교육 BD (산해경)</t>
  </si>
  <si>
    <t>상급 전술 교육 BD (붉은겨울)</t>
  </si>
  <si>
    <t>상급 전술 교육 BD (발키리)</t>
  </si>
  <si>
    <t>상급 전술 교육 BD (SRT)</t>
  </si>
  <si>
    <t>상급 전술 교육 BD (아리우스)</t>
  </si>
  <si>
    <t>최상급 전술 교육 BD (아비도스)</t>
  </si>
  <si>
    <t>최상급 전술 교육 BD (게헨나)</t>
  </si>
  <si>
    <t>최상급 전술 교육 BD (밀레니엄)</t>
  </si>
  <si>
    <t>최상급 전술 교육 BD (트리니티)</t>
  </si>
  <si>
    <t>최상급 전술 교육 BD (백귀야행)</t>
  </si>
  <si>
    <t>최상급 전술 교육 BD (산해경)</t>
  </si>
  <si>
    <t>최상급 전술 교육 BD (붉은겨울)</t>
  </si>
  <si>
    <t>최상급 전술 교육 BD (발키리)</t>
  </si>
  <si>
    <t>최상급 전술 교육 BD (SRT)</t>
  </si>
  <si>
    <t>최상급 전술 교육 BD (아리우스)</t>
  </si>
  <si>
    <t>기초 기술 노트 (아비도스)</t>
  </si>
  <si>
    <t>기초 기술 노트 (게헨나)</t>
  </si>
  <si>
    <t>기초 기술 노트 (밀레니엄)</t>
  </si>
  <si>
    <t>기초 기술 노트 (트리니티)</t>
  </si>
  <si>
    <t>기초 기술 노트 (백귀야행)</t>
  </si>
  <si>
    <t>기초 기술 노트 (산해경)</t>
  </si>
  <si>
    <t>기초 기술 노트 (붉은겨울)</t>
  </si>
  <si>
    <t>기초 기술 노트 (발키리)</t>
  </si>
  <si>
    <t>기초 기술 노트 (SRT)</t>
  </si>
  <si>
    <t>기초 기술 노트 (아리우스)</t>
  </si>
  <si>
    <t>일반 기술 노트 (아비도스)</t>
  </si>
  <si>
    <t>일반 기술 노트 (게헨나)</t>
  </si>
  <si>
    <t>일반 기술 노트 (밀레니엄)</t>
  </si>
  <si>
    <t>일반 기술 노트 (트리니티)</t>
  </si>
  <si>
    <t>일반 기술 노트 (백귀야행)</t>
  </si>
  <si>
    <t>일반 기술 노트 (산해경)</t>
  </si>
  <si>
    <t>일반 기술 노트 (붉은겨울)</t>
  </si>
  <si>
    <t>일반 기술 노트 (발키리)</t>
  </si>
  <si>
    <t>일반 기술 노트 (SRT)</t>
  </si>
  <si>
    <t>일반 기술 노트 (아리우스)</t>
  </si>
  <si>
    <t>상급 기술 노트 (아비도스)</t>
  </si>
  <si>
    <t>상급 기술 노트 (게헨나)</t>
  </si>
  <si>
    <t>상급 기술 노트 (밀레니엄)</t>
  </si>
  <si>
    <t>상급 기술 노트 (트리니티)</t>
  </si>
  <si>
    <t>상급 기술 노트 (백귀야행)</t>
  </si>
  <si>
    <t>상급 기술 노트 (산해경)</t>
  </si>
  <si>
    <t>상급 기술 노트 (붉은겨울)</t>
  </si>
  <si>
    <t>상급 기술 노트 (발키리)</t>
  </si>
  <si>
    <t>상급 기술 노트 (SRT)</t>
  </si>
  <si>
    <t>상급 기술 노트 (아리우스)</t>
  </si>
  <si>
    <t>최상급 기술 노트 (아비도스)</t>
  </si>
  <si>
    <t>최상급 기술 노트 (게헨나)</t>
  </si>
  <si>
    <t>최상급 기술 노트 (밀레니엄)</t>
  </si>
  <si>
    <t>최상급 기술 노트 (트리니티)</t>
  </si>
  <si>
    <t>최상급 기술 노트 (백귀야행)</t>
  </si>
  <si>
    <t>최상급 기술 노트 (산해경)</t>
  </si>
  <si>
    <t>최상급 기술 노트 (붉은겨울)</t>
  </si>
  <si>
    <t>최상급 기술 노트 (발키리)</t>
  </si>
  <si>
    <t>최상급 기술 노트 (SRT)</t>
  </si>
  <si>
    <t>최상급 기술 노트 (아리우스)</t>
  </si>
  <si>
    <t>네브라 디스크 조각</t>
  </si>
  <si>
    <t>파손된 네브라 디스크</t>
  </si>
  <si>
    <t>마모된 네브라 디스크</t>
  </si>
  <si>
    <t>온전한 네브라 디스크</t>
  </si>
  <si>
    <t>파에스토스 원반 조각</t>
  </si>
  <si>
    <t>파손된 파에스토스 원반</t>
  </si>
  <si>
    <t>마모된 파에스토스 원반</t>
  </si>
  <si>
    <t>온전한 파에스토스 원반</t>
  </si>
  <si>
    <t>볼프세크 철광석</t>
  </si>
  <si>
    <t>볼프세크 철조각</t>
  </si>
  <si>
    <t>저순도 볼프세크 강철</t>
  </si>
  <si>
    <t>고순도 볼프세크 강철</t>
  </si>
  <si>
    <t>만드라고라 씨앗</t>
  </si>
  <si>
    <t>만드라고라 새싹</t>
  </si>
  <si>
    <t>만드라고라 주스</t>
  </si>
  <si>
    <t>만드라고라 농축액</t>
  </si>
  <si>
    <t>로혼치 사본 페이지</t>
  </si>
  <si>
    <t>훼손된 로혼치 사본</t>
  </si>
  <si>
    <t>편집된 로혼치 사본</t>
  </si>
  <si>
    <t>온전한 로혼치 사본</t>
  </si>
  <si>
    <t>에테르 가루</t>
  </si>
  <si>
    <t>에테르 조각</t>
  </si>
  <si>
    <t>에테르 결정</t>
  </si>
  <si>
    <t>에테르 정수</t>
  </si>
  <si>
    <t>안티키테라 장치 조각</t>
  </si>
  <si>
    <t>파손된 안티키테라 장치</t>
  </si>
  <si>
    <t>마모된 안티키테라 장치</t>
  </si>
  <si>
    <t>온전한 안티키테라 장치</t>
  </si>
  <si>
    <t>보이니치 사본 페이지</t>
  </si>
  <si>
    <t>훼손된 보이니치 사본</t>
  </si>
  <si>
    <t>편집된 보이니치 사본</t>
  </si>
  <si>
    <t>온전한 보이니치 사본</t>
  </si>
  <si>
    <t>수정 하니와 파편</t>
  </si>
  <si>
    <t>파손된 수정 하니와</t>
  </si>
  <si>
    <t>수리된 수정 하니와</t>
  </si>
  <si>
    <t>온전한 수정 하니와</t>
  </si>
  <si>
    <t>토템폴 조각</t>
  </si>
  <si>
    <t>파손된 토템폴</t>
  </si>
  <si>
    <t>수리된 토템폴</t>
  </si>
  <si>
    <t>온전한 토템폴</t>
  </si>
  <si>
    <t>고대 전지 조각</t>
  </si>
  <si>
    <t>파손된 고대 전지</t>
  </si>
  <si>
    <t>마모된 고대 전지</t>
  </si>
  <si>
    <t>온전한 고대 전지</t>
  </si>
  <si>
    <t>디스코 콜간테 조각</t>
  </si>
  <si>
    <t>파손된 디스코 콜간테</t>
  </si>
  <si>
    <t>수리된 디스코 콜간테</t>
  </si>
  <si>
    <t>온전한 디스코 콜간테</t>
  </si>
  <si>
    <t>위니페소키 스톤 조각</t>
  </si>
  <si>
    <t>파손된 위니페소키 스톤</t>
  </si>
  <si>
    <t>마모된 위니페소키 스톤</t>
  </si>
  <si>
    <t>온전한 위니페소키 스톤</t>
  </si>
  <si>
    <t>머리가 자라는 인형 조각</t>
  </si>
  <si>
    <t>파손된 머리가 자라는 인형</t>
  </si>
  <si>
    <t>수리된 머리가 자라는 인형</t>
  </si>
  <si>
    <t>온전한 머리가 자라는 인형</t>
  </si>
  <si>
    <t>아틀란티스 메달 조각</t>
  </si>
  <si>
    <t>파손된 아틀란티스 메달</t>
  </si>
  <si>
    <t>마모된 아틀란티스 메달</t>
  </si>
  <si>
    <t>온전한 아틀란티스 메달</t>
  </si>
  <si>
    <t>님루드 렌즈 조각</t>
  </si>
  <si>
    <t>파손된 님루드 렌즈</t>
  </si>
  <si>
    <t>마모된 님루드 렌즈</t>
  </si>
  <si>
    <t>온전한 님루드 렌즈</t>
  </si>
  <si>
    <t>기술 노트 상자</t>
  </si>
  <si>
    <t>기술 노트 추첨권</t>
  </si>
  <si>
    <t>기술 노트 선택권</t>
  </si>
  <si>
    <t>전술 교육 BD 상자</t>
  </si>
  <si>
    <t>전술 교육 BD 선택권</t>
  </si>
  <si>
    <t>선물 상자</t>
  </si>
  <si>
    <t>선물 선택 상자</t>
  </si>
  <si>
    <t>고급 선물 상자</t>
  </si>
  <si>
    <t>장비 상자</t>
  </si>
  <si>
    <t>장비 설계도 선택권</t>
  </si>
  <si>
    <t>오파츠 추첨권</t>
  </si>
  <si>
    <t>오파츠 선택권</t>
  </si>
  <si>
    <t>가구 박스(☆3)</t>
  </si>
  <si>
    <t>가구 추첨 상자</t>
  </si>
  <si>
    <t>가구 선택 상자</t>
  </si>
  <si>
    <t>테마 가구 선택권</t>
  </si>
  <si>
    <t>프레나파테스의 어른의 카드</t>
  </si>
  <si>
    <t>아로나의 스탬프</t>
  </si>
  <si>
    <t>게임 잡지</t>
  </si>
  <si>
    <t>만점 시험지</t>
  </si>
  <si>
    <t>임무 보고서</t>
  </si>
  <si>
    <t>마시멜로 꼬치</t>
  </si>
  <si>
    <t>낡은 아리우스 배지</t>
  </si>
  <si>
    <t>수제 화환</t>
  </si>
  <si>
    <t>AMAS의 잔해</t>
  </si>
  <si>
    <t>추억이 담긴 필름</t>
  </si>
  <si>
    <t>용역부 전단지</t>
  </si>
  <si>
    <t>웨이브 캣 베개</t>
  </si>
  <si>
    <t>페로로 휠 슬라이드</t>
  </si>
  <si>
    <t>에이_팟 프로</t>
  </si>
  <si>
    <t>금단의 연애</t>
  </si>
  <si>
    <t>게임 잡지 「히트걸즈」</t>
  </si>
  <si>
    <t>체리로즈 립글로즈</t>
  </si>
  <si>
    <t>피부까지 투명해지는 BB크림</t>
  </si>
  <si>
    <t>밀리터리 3종 위장용 파운데이션</t>
  </si>
  <si>
    <t>고급 쿠키 세트</t>
  </si>
  <si>
    <t>&lt;총, 귀여움, 청춘&gt;</t>
  </si>
  <si>
    <t>천체망원경</t>
  </si>
  <si>
    <t>게임걸 컬러 복각판</t>
  </si>
  <si>
    <t>MX-레이션 C형 디저트 맛</t>
  </si>
  <si>
    <t>말차맛 라무네</t>
  </si>
  <si>
    <t>젤리즈 쿠션</t>
  </si>
  <si>
    <t>초절 토끼 탐정</t>
  </si>
  <si>
    <t>O-오피트</t>
  </si>
  <si>
    <t>매장금의 지도</t>
  </si>
  <si>
    <t>코스프레용 뱅뱅이 안경</t>
  </si>
  <si>
    <t>세상에서 가장 쓸데없는 기계</t>
  </si>
  <si>
    <t>리본이 달린 곰인형</t>
  </si>
  <si>
    <t>30색 물감 세트</t>
  </si>
  <si>
    <t>고전 시집</t>
  </si>
  <si>
    <t>백과사전</t>
  </si>
  <si>
    <t>비싸보이는 금박 욕망의 항아리</t>
  </si>
  <si>
    <t>두뇌개발용 퍼즐 큐브</t>
  </si>
  <si>
    <t>자수가 놓인 손수건</t>
  </si>
  <si>
    <t>대형 홀 케이크</t>
  </si>
  <si>
    <t>영화 예매권</t>
  </si>
  <si>
    <t>귀여운 그릇 세트</t>
  </si>
  <si>
    <t>고급 뷔페 초대권</t>
  </si>
  <si>
    <t>식충식물 화분</t>
  </si>
  <si>
    <t>태엽장치 오르골</t>
  </si>
  <si>
    <t>건강보조식품</t>
  </si>
  <si>
    <t>여름용 튜브</t>
  </si>
  <si>
    <t>반짝이 꽃다발</t>
  </si>
  <si>
    <t>하츠네 미쿠 포토카드</t>
  </si>
  <si>
    <t>프랭크 버거 기념카드</t>
  </si>
  <si>
    <t>달콤 커피 기념선물</t>
  </si>
  <si>
    <t>세련된 머리빗</t>
  </si>
  <si>
    <t>최고급 단풍 분재</t>
  </si>
  <si>
    <t>1일 3회 덤벨 세트</t>
  </si>
  <si>
    <t>레이스가 달린 베게</t>
  </si>
  <si>
    <t>스트리트 오브 양키 1권</t>
  </si>
  <si>
    <t>사뮤엘라「더 비욘드」</t>
  </si>
  <si>
    <t>레트로한 계란 공예품</t>
  </si>
  <si>
    <t>밀피유 정통파 파르페</t>
  </si>
  <si>
    <t>에이_부클레어</t>
  </si>
  <si>
    <t>영양만점 종합 비타민 젤리</t>
  </si>
  <si>
    <t>재봉 키트</t>
  </si>
  <si>
    <t>음악연주회 입장권</t>
  </si>
  <si>
    <t>보드게임 「더 인생」</t>
  </si>
  <si>
    <t>PERCENT_RANK</t>
    <phoneticPr fontId="1" type="noConversion"/>
  </si>
  <si>
    <t>아이템 아이디</t>
    <phoneticPr fontId="1" type="noConversion"/>
  </si>
  <si>
    <t>ITEM_ID</t>
    <phoneticPr fontId="1" type="noConversion"/>
  </si>
  <si>
    <t>아이템 개수</t>
    <phoneticPr fontId="1" type="noConversion"/>
  </si>
  <si>
    <t>ITEM_QTY</t>
    <phoneticPr fontId="1" type="noConversion"/>
  </si>
  <si>
    <t>#보상 설명</t>
    <phoneticPr fontId="1" type="noConversion"/>
  </si>
  <si>
    <t>REWARD_DESC</t>
    <phoneticPr fontId="1" type="noConversion"/>
  </si>
  <si>
    <t>참조</t>
    <phoneticPr fontId="1" type="noConversion"/>
  </si>
  <si>
    <t>- 대회의 보상은 대회 종료 후 정산하여 랭크에 따라 보상이 존재한다.</t>
    <phoneticPr fontId="1" type="noConversion"/>
  </si>
  <si>
    <t>내용</t>
    <phoneticPr fontId="43" type="noConversion"/>
  </si>
  <si>
    <t>타입</t>
    <phoneticPr fontId="43" type="noConversion"/>
  </si>
  <si>
    <t>값</t>
    <phoneticPr fontId="43" type="noConversion"/>
  </si>
  <si>
    <t>#내용</t>
    <phoneticPr fontId="43" type="noConversion"/>
  </si>
  <si>
    <t>KEY</t>
    <phoneticPr fontId="43" type="noConversion"/>
  </si>
  <si>
    <t>TYPE</t>
    <phoneticPr fontId="43" type="noConversion"/>
  </si>
  <si>
    <t>VALUE</t>
    <phoneticPr fontId="43" type="noConversion"/>
  </si>
  <si>
    <t>참조</t>
    <phoneticPr fontId="43" type="noConversion"/>
  </si>
  <si>
    <t>INT</t>
    <phoneticPr fontId="43" type="noConversion"/>
  </si>
  <si>
    <t>투표 시 ID 카드가 등장하는 횟수 제한 (5000회)</t>
    <phoneticPr fontId="1" type="noConversion"/>
  </si>
  <si>
    <t>CUSTOM_ID_CARD_MAX_DRAW</t>
    <phoneticPr fontId="43" type="noConversion"/>
  </si>
  <si>
    <t>일일 투표 횟수를 제한 (30회)</t>
    <phoneticPr fontId="1" type="noConversion"/>
  </si>
  <si>
    <t>CUSTOM_ID_CARD_MAX_VOTE_QTY</t>
    <phoneticPr fontId="43" type="noConversion"/>
  </si>
  <si>
    <t>CUSTOM_ID_CARD_MAX_RESOURCE</t>
    <phoneticPr fontId="43" type="noConversion"/>
  </si>
  <si>
    <t>ID 카드에 배치할 수 있는 최대 리소스 개수 (2000개)</t>
    <phoneticPr fontId="1" type="noConversion"/>
  </si>
  <si>
    <t>투표 횟수</t>
    <phoneticPr fontId="1" type="noConversion"/>
  </si>
  <si>
    <t>VOTE_QTY</t>
    <phoneticPr fontId="1" type="noConversion"/>
  </si>
  <si>
    <t>#투표 보상 설명</t>
    <phoneticPr fontId="1" type="noConversion"/>
  </si>
  <si>
    <t>VOTE_REWARD_DESC</t>
    <phoneticPr fontId="1" type="noConversion"/>
  </si>
  <si>
    <t>참고</t>
    <phoneticPr fontId="1" type="noConversion"/>
  </si>
  <si>
    <t>일반 활동 보고서 X3</t>
    <phoneticPr fontId="1" type="noConversion"/>
  </si>
  <si>
    <t>기동석 X5</t>
    <phoneticPr fontId="1" type="noConversion"/>
  </si>
  <si>
    <t>AP</t>
    <phoneticPr fontId="1" type="noConversion"/>
  </si>
  <si>
    <t>설명</t>
  </si>
  <si>
    <t>INDEX</t>
  </si>
  <si>
    <t>엘레프</t>
  </si>
  <si>
    <t>코인</t>
  </si>
  <si>
    <t>재료</t>
  </si>
  <si>
    <t>경험치 재료</t>
  </si>
  <si>
    <t>소모품</t>
  </si>
  <si>
    <t>수집품</t>
  </si>
  <si>
    <t>합성용 기동석</t>
  </si>
  <si>
    <t>선물</t>
  </si>
  <si>
    <t>카페 랭크 업</t>
  </si>
  <si>
    <t>제조용 마테리얼</t>
  </si>
  <si>
    <t>전술 교육 BD</t>
  </si>
  <si>
    <t>기술 노트</t>
  </si>
  <si>
    <t>오파츠</t>
  </si>
  <si>
    <t>이벤트 관련 재료</t>
  </si>
  <si>
    <t>메인 이벤트 수집품</t>
  </si>
  <si>
    <t>가이드 미션 수집품</t>
  </si>
  <si>
    <t>재화</t>
    <phoneticPr fontId="1" type="noConversion"/>
  </si>
  <si>
    <t>→ 여기 클릭 시 관련 테이블로 이동</t>
    <phoneticPr fontId="1" type="noConversion"/>
  </si>
  <si>
    <t>2023-08-16</t>
  </si>
  <si>
    <t>2023-08-24</t>
  </si>
  <si>
    <t>2023-08-30</t>
  </si>
  <si>
    <t>랭크 타입</t>
    <phoneticPr fontId="1" type="noConversion"/>
  </si>
  <si>
    <t>RANK_TYPE</t>
    <phoneticPr fontId="1" type="noConversion"/>
  </si>
  <si>
    <t>순위 백분율</t>
    <phoneticPr fontId="1" type="noConversion"/>
  </si>
  <si>
    <t>2023-09-07</t>
  </si>
  <si>
    <t>2023-09-21</t>
  </si>
  <si>
    <t>2023-10-05</t>
  </si>
  <si>
    <t>2023-10-19</t>
  </si>
  <si>
    <t>2023-11-02</t>
  </si>
  <si>
    <t>2023-11-16</t>
  </si>
  <si>
    <t>2023-11-30</t>
  </si>
  <si>
    <t>2023-12-14</t>
  </si>
  <si>
    <t>2023-12-28</t>
  </si>
  <si>
    <t>2024-01-11</t>
  </si>
  <si>
    <t>2024-01-25</t>
  </si>
  <si>
    <t>2024-02-08</t>
  </si>
  <si>
    <t>2024-02-22</t>
  </si>
  <si>
    <t>2024-03-07</t>
  </si>
  <si>
    <t>2024-03-21</t>
  </si>
  <si>
    <t>2024-04-04</t>
  </si>
  <si>
    <t>2024-04-18</t>
  </si>
  <si>
    <t>2024-05-02</t>
  </si>
  <si>
    <t>2024-05-16</t>
  </si>
  <si>
    <t>2024-05-30</t>
  </si>
  <si>
    <t>2024-06-13</t>
  </si>
  <si>
    <t>2024-06-27</t>
  </si>
  <si>
    <t>2024-07-11</t>
  </si>
  <si>
    <t>2024-07-25</t>
  </si>
  <si>
    <t>2024-08-08</t>
  </si>
  <si>
    <t>2024-08-22</t>
  </si>
  <si>
    <t>2024-09-05</t>
  </si>
  <si>
    <t>2024-09-19</t>
  </si>
  <si>
    <t>2024-10-03</t>
  </si>
  <si>
    <t>2024-10-17</t>
  </si>
  <si>
    <t>2024-10-31</t>
  </si>
  <si>
    <t>2024-11-14</t>
  </si>
  <si>
    <t>2024-11-28</t>
  </si>
  <si>
    <t>2024-12-12</t>
  </si>
  <si>
    <t>2024-12-26</t>
  </si>
  <si>
    <t>2025-01-09</t>
  </si>
  <si>
    <t>2025-01-01</t>
  </si>
  <si>
    <t>2025-01-15</t>
  </si>
  <si>
    <t>2024-01-03</t>
  </si>
  <si>
    <t>2024-01-17</t>
  </si>
  <si>
    <t>2024-01-31</t>
  </si>
  <si>
    <t>2024-02-14</t>
  </si>
  <si>
    <t>2024-02-28</t>
  </si>
  <si>
    <t>2024-03-13</t>
  </si>
  <si>
    <t>2024-03-27</t>
  </si>
  <si>
    <t>2024-04-10</t>
  </si>
  <si>
    <t>2024-04-24</t>
  </si>
  <si>
    <t>2024-05-08</t>
  </si>
  <si>
    <t>2024-05-22</t>
  </si>
  <si>
    <t>2024-06-05</t>
  </si>
  <si>
    <t>2024-06-19</t>
  </si>
  <si>
    <t>2024-07-03</t>
  </si>
  <si>
    <t>2024-07-17</t>
  </si>
  <si>
    <t>2024-07-31</t>
  </si>
  <si>
    <t>2024-08-14</t>
  </si>
  <si>
    <t>2024-08-28</t>
  </si>
  <si>
    <t>2024-09-11</t>
  </si>
  <si>
    <t>2024-09-25</t>
  </si>
  <si>
    <t>2024-10-09</t>
  </si>
  <si>
    <t>2024-10-23</t>
  </si>
  <si>
    <t>2024-11-06</t>
  </si>
  <si>
    <t>2024-11-20</t>
  </si>
  <si>
    <t>2024-12-04</t>
  </si>
  <si>
    <t>2024-12-18</t>
  </si>
  <si>
    <t>2023-09-13</t>
  </si>
  <si>
    <t>2023-09-27</t>
  </si>
  <si>
    <t>2023-10-11</t>
  </si>
  <si>
    <t>2023-10-25</t>
  </si>
  <si>
    <t>2023-11-08</t>
  </si>
  <si>
    <t>2023-11-22</t>
  </si>
  <si>
    <t>2023-12-06</t>
  </si>
  <si>
    <t>2023-12-20</t>
  </si>
  <si>
    <t>2023-08-10</t>
    <phoneticPr fontId="1" type="noConversion"/>
  </si>
  <si>
    <t>랭크 이름</t>
    <phoneticPr fontId="1" type="noConversion"/>
  </si>
  <si>
    <t>RANK_NAME</t>
    <phoneticPr fontId="1" type="noConversion"/>
  </si>
  <si>
    <t>랭크 아이콘</t>
    <phoneticPr fontId="1" type="noConversion"/>
  </si>
  <si>
    <t>RANK_ICON</t>
    <phoneticPr fontId="1" type="noConversion"/>
  </si>
  <si>
    <t>백분율</t>
    <phoneticPr fontId="1" type="noConversion"/>
  </si>
  <si>
    <t>상위 0%~10%</t>
    <phoneticPr fontId="1" type="noConversion"/>
  </si>
  <si>
    <t>상위 11%~30%</t>
    <phoneticPr fontId="1" type="noConversion"/>
  </si>
  <si>
    <t>상위 31%~60%</t>
    <phoneticPr fontId="1" type="noConversion"/>
  </si>
  <si>
    <t>상위 61%~100%</t>
    <phoneticPr fontId="1" type="noConversion"/>
  </si>
  <si>
    <t>→ 동점일 경우, UTC 기준 점수를 먼저 달성한 유저를 상위 랭크로 처리</t>
    <phoneticPr fontId="1" type="noConversion"/>
  </si>
  <si>
    <t>배경</t>
    <phoneticPr fontId="1" type="noConversion"/>
  </si>
  <si>
    <t>도형</t>
    <phoneticPr fontId="1" type="noConversion"/>
  </si>
  <si>
    <t xml:space="preserve"> 대표 캐릭터, 배경, 표시 정보, 도형, 텍스트로 구성</t>
    <phoneticPr fontId="1" type="noConversion"/>
  </si>
  <si>
    <t xml:space="preserve"> 투표 진행 도중 투표 진행 UI 이탈 시 진행 횟수 저장</t>
    <phoneticPr fontId="1" type="noConversion"/>
  </si>
  <si>
    <t>→ 집계 기간에는 투표가 불가능하다.</t>
    <phoneticPr fontId="1" type="noConversion"/>
  </si>
  <si>
    <t>→ 집계 기간: 투표 종료 날짜와 종료 시간에서 12시간 후에 집계가 완료된다.</t>
    <phoneticPr fontId="1" type="noConversion"/>
  </si>
  <si>
    <t>→ 여기 클릭 시 시즌 관련 테이블로 이동</t>
    <phoneticPr fontId="1" type="noConversion"/>
  </si>
  <si>
    <t>아이템 이름</t>
  </si>
  <si>
    <t>아이템 아이콘</t>
  </si>
  <si>
    <t>아이템 설명</t>
  </si>
  <si>
    <t>ITEM_ICON</t>
  </si>
  <si>
    <t>ITEM_DESC</t>
  </si>
  <si>
    <t>string</t>
  </si>
  <si>
    <t>4.1 COMMON</t>
    <phoneticPr fontId="1" type="noConversion"/>
  </si>
  <si>
    <t>4.2 SEASON</t>
    <phoneticPr fontId="1" type="noConversion"/>
  </si>
  <si>
    <t>4.3 RANK_REWARD</t>
    <phoneticPr fontId="1" type="noConversion"/>
  </si>
  <si>
    <t>4.4 VOTE_REWARD</t>
    <phoneticPr fontId="1" type="noConversion"/>
  </si>
  <si>
    <t>4.5 RESOURSE_LIST</t>
    <phoneticPr fontId="1" type="noConversion"/>
  </si>
  <si>
    <t>4.6 ITEM</t>
    <phoneticPr fontId="1" type="noConversion"/>
  </si>
  <si>
    <t>선택한 리소스 목록 제목</t>
    <phoneticPr fontId="1" type="noConversion"/>
  </si>
  <si>
    <t xml:space="preserve">  → 여기 클릭 시 리소스 목록 UI 설명으로 이동</t>
    <phoneticPr fontId="1" type="noConversion"/>
  </si>
  <si>
    <t xml:space="preserve"> 리소스 목록 중 한 가지를 선택하면 화면의 좌측에 리스트가 표시된다.</t>
    <phoneticPr fontId="1" type="noConversion"/>
  </si>
  <si>
    <t xml:space="preserve"> X 버튼 또는 화면 아무 곳 터치 시 목록은 종료된다.</t>
    <phoneticPr fontId="1" type="noConversion"/>
  </si>
  <si>
    <t xml:space="preserve"> 리소스 터치 시 ID 카드 커스텀 화면의 정중앙에 배치된다.</t>
    <phoneticPr fontId="1" type="noConversion"/>
  </si>
  <si>
    <t xml:space="preserve">  → 여러 번 터치 시 리소스들을 겹쳐서 표시한다.</t>
    <phoneticPr fontId="1" type="noConversion"/>
  </si>
  <si>
    <t xml:space="preserve">  → 가장 최근에 선택한 리소스가 제일 앞에 배치된다.</t>
    <phoneticPr fontId="1" type="noConversion"/>
  </si>
  <si>
    <t>RESOURCE_KEY</t>
    <phoneticPr fontId="43" type="noConversion"/>
  </si>
  <si>
    <t>#학생 이름</t>
  </si>
  <si>
    <t>역할</t>
    <phoneticPr fontId="43" type="noConversion"/>
  </si>
  <si>
    <t>상세 역할</t>
    <phoneticPr fontId="43" type="noConversion"/>
  </si>
  <si>
    <t>등급</t>
    <phoneticPr fontId="43" type="noConversion"/>
  </si>
  <si>
    <t>최대 레벨</t>
    <phoneticPr fontId="43" type="noConversion"/>
  </si>
  <si>
    <t>공격 위치</t>
    <phoneticPr fontId="43" type="noConversion"/>
  </si>
  <si>
    <t>공격 타입</t>
    <phoneticPr fontId="43" type="noConversion"/>
  </si>
  <si>
    <t>방어 타입</t>
    <phoneticPr fontId="43" type="noConversion"/>
  </si>
  <si>
    <t>시가전 등급</t>
    <phoneticPr fontId="43" type="noConversion"/>
  </si>
  <si>
    <t>야전 등급</t>
    <phoneticPr fontId="43" type="noConversion"/>
  </si>
  <si>
    <t>실내전 등급</t>
    <phoneticPr fontId="43" type="noConversion"/>
  </si>
  <si>
    <t>대사 그룹</t>
    <phoneticPr fontId="43" type="noConversion"/>
  </si>
  <si>
    <t>애용품 그룹</t>
    <phoneticPr fontId="43" type="noConversion"/>
  </si>
  <si>
    <t>학생 이름</t>
  </si>
  <si>
    <t>학생 이미지</t>
    <phoneticPr fontId="43" type="noConversion"/>
  </si>
  <si>
    <t>STUDENT_NAME</t>
  </si>
  <si>
    <t>ROLE</t>
    <phoneticPr fontId="43" type="noConversion"/>
  </si>
  <si>
    <t>DETAIL_ROLE</t>
    <phoneticPr fontId="43" type="noConversion"/>
  </si>
  <si>
    <t>RANK</t>
    <phoneticPr fontId="43" type="noConversion"/>
  </si>
  <si>
    <t>MAX_LEVEL</t>
    <phoneticPr fontId="43" type="noConversion"/>
  </si>
  <si>
    <t>POSITION_TYPE</t>
    <phoneticPr fontId="43" type="noConversion"/>
  </si>
  <si>
    <t>OFFENSE_TYPE</t>
    <phoneticPr fontId="43" type="noConversion"/>
  </si>
  <si>
    <t>DEFENSE_TYPE</t>
    <phoneticPr fontId="43" type="noConversion"/>
  </si>
  <si>
    <t>CITY_WAR_RANK</t>
    <phoneticPr fontId="43" type="noConversion"/>
  </si>
  <si>
    <t>OUTSIDE_WAR_RANK</t>
    <phoneticPr fontId="43" type="noConversion"/>
  </si>
  <si>
    <t>INSIDE_WAR_RANK</t>
    <phoneticPr fontId="43" type="noConversion"/>
  </si>
  <si>
    <t>SPEECH_GROUP</t>
    <phoneticPr fontId="43" type="noConversion"/>
  </si>
  <si>
    <t>UNIQUE_ITEM_GROUP</t>
    <phoneticPr fontId="43" type="noConversion"/>
  </si>
  <si>
    <t>STUDENT_IMAGE</t>
    <phoneticPr fontId="43" type="noConversion"/>
  </si>
  <si>
    <t>시로코</t>
  </si>
  <si>
    <t>호시노</t>
  </si>
  <si>
    <t>세리카</t>
  </si>
  <si>
    <t>노노미</t>
  </si>
  <si>
    <t>아야네</t>
  </si>
  <si>
    <t>아루</t>
  </si>
  <si>
    <t>무츠키</t>
  </si>
  <si>
    <t>카요코</t>
  </si>
  <si>
    <t>하루카</t>
  </si>
  <si>
    <t>히나</t>
  </si>
  <si>
    <t>아코</t>
  </si>
  <si>
    <t>이오리</t>
  </si>
  <si>
    <t>치나츠</t>
  </si>
  <si>
    <t>하루나</t>
  </si>
  <si>
    <t>준코</t>
  </si>
  <si>
    <t>이즈미</t>
  </si>
  <si>
    <t>아카리</t>
  </si>
  <si>
    <t>후우카</t>
  </si>
  <si>
    <t>주리</t>
  </si>
  <si>
    <t>세나</t>
  </si>
  <si>
    <t>이로하</t>
  </si>
  <si>
    <t>메구</t>
  </si>
  <si>
    <t>노아</t>
  </si>
  <si>
    <t>유우카</t>
  </si>
  <si>
    <t>코유키</t>
  </si>
  <si>
    <t>치히로</t>
  </si>
  <si>
    <t>하레</t>
  </si>
  <si>
    <t>마키</t>
  </si>
  <si>
    <t>코타마</t>
  </si>
  <si>
    <t>네루</t>
  </si>
  <si>
    <t>아스나</t>
  </si>
  <si>
    <t>카린</t>
  </si>
  <si>
    <t>아카네</t>
  </si>
  <si>
    <t>토키</t>
  </si>
  <si>
    <t>우타하</t>
  </si>
  <si>
    <t>히비키</t>
  </si>
  <si>
    <t>코토리</t>
  </si>
  <si>
    <t>스미레</t>
  </si>
  <si>
    <t>히마리</t>
  </si>
  <si>
    <t>에이미</t>
  </si>
  <si>
    <t>아리스</t>
  </si>
  <si>
    <t>모모이</t>
  </si>
  <si>
    <t>미도리</t>
  </si>
  <si>
    <t>유즈</t>
  </si>
  <si>
    <t>히후미</t>
  </si>
  <si>
    <t>하나코</t>
  </si>
  <si>
    <t>아즈사</t>
  </si>
  <si>
    <t>코하루</t>
  </si>
  <si>
    <t>스즈미</t>
  </si>
  <si>
    <t>레이사</t>
  </si>
  <si>
    <t>우이</t>
  </si>
  <si>
    <t>시미코</t>
  </si>
  <si>
    <t>요시미</t>
  </si>
  <si>
    <t>아이리</t>
  </si>
  <si>
    <t>카즈사</t>
  </si>
  <si>
    <t>나츠</t>
  </si>
  <si>
    <t>미네</t>
  </si>
  <si>
    <t>세리나</t>
  </si>
  <si>
    <t>하나에</t>
  </si>
  <si>
    <t>츠루기</t>
  </si>
  <si>
    <t>하스미</t>
  </si>
  <si>
    <t>마시로</t>
  </si>
  <si>
    <t>시즈코</t>
  </si>
  <si>
    <t>피나</t>
  </si>
  <si>
    <t>츠바키</t>
  </si>
  <si>
    <t>미모리</t>
  </si>
  <si>
    <t>카에데</t>
  </si>
  <si>
    <t>카호</t>
  </si>
  <si>
    <t>치세</t>
  </si>
  <si>
    <t>미치루</t>
  </si>
  <si>
    <t>이즈나</t>
  </si>
  <si>
    <t>츠쿠요</t>
  </si>
  <si>
    <t>와카모</t>
  </si>
  <si>
    <t>사야</t>
  </si>
  <si>
    <t>슌</t>
  </si>
  <si>
    <t>코코나</t>
  </si>
  <si>
    <t>루미</t>
  </si>
  <si>
    <t>미나</t>
  </si>
  <si>
    <t>체리노</t>
  </si>
  <si>
    <t>토모에</t>
  </si>
  <si>
    <t>마리나</t>
  </si>
  <si>
    <t>노도카</t>
  </si>
  <si>
    <t>시구레</t>
  </si>
  <si>
    <t>미노리</t>
  </si>
  <si>
    <t>키리노</t>
  </si>
  <si>
    <t>후부키</t>
  </si>
  <si>
    <t>칸나</t>
  </si>
  <si>
    <t>미야코</t>
  </si>
  <si>
    <t>사키</t>
  </si>
  <si>
    <t>모에</t>
  </si>
  <si>
    <t>미유</t>
  </si>
  <si>
    <t>사오리</t>
  </si>
  <si>
    <t>아츠코</t>
  </si>
  <si>
    <t>미사키</t>
  </si>
  <si>
    <t>히요리</t>
  </si>
  <si>
    <t>미쿠</t>
  </si>
  <si>
    <t>리소스 키</t>
    <phoneticPr fontId="43" type="noConversion"/>
  </si>
  <si>
    <t>RESOURCE_STUDENT_IMAGE_1</t>
    <phoneticPr fontId="1" type="noConversion"/>
  </si>
  <si>
    <t>RESOURCE_STUDENT_IMAGE_2</t>
  </si>
  <si>
    <t>RESOURCE_STUDENT_IMAGE_3</t>
  </si>
  <si>
    <t>RESOURCE_STUDENT_IMAGE_4</t>
  </si>
  <si>
    <t>RESOURCE_STUDENT_IMAGE_5</t>
  </si>
  <si>
    <t>RESOURCE_STUDENT_IMAGE_6</t>
  </si>
  <si>
    <t>RESOURCE_STUDENT_IMAGE_7</t>
  </si>
  <si>
    <t>RESOURCE_STUDENT_IMAGE_8</t>
  </si>
  <si>
    <t>RESOURCE_STUDENT_IMAGE_9</t>
  </si>
  <si>
    <t>RESOURCE_STUDENT_IMAGE_10</t>
  </si>
  <si>
    <t>RESOURCE_STUDENT_IMAGE_11</t>
  </si>
  <si>
    <t>RESOURCE_STUDENT_IMAGE_12</t>
  </si>
  <si>
    <t>RESOURCE_STUDENT_IMAGE_13</t>
  </si>
  <si>
    <t>RESOURCE_STUDENT_IMAGE_14</t>
  </si>
  <si>
    <t>RESOURCE_STUDENT_IMAGE_15</t>
  </si>
  <si>
    <t>RESOURCE_STUDENT_IMAGE_16</t>
  </si>
  <si>
    <t>RESOURCE_STUDENT_IMAGE_17</t>
  </si>
  <si>
    <t>RESOURCE_STUDENT_IMAGE_18</t>
  </si>
  <si>
    <t>RESOURCE_STUDENT_IMAGE_19</t>
  </si>
  <si>
    <t>RESOURCE_STUDENT_IMAGE_20</t>
  </si>
  <si>
    <t>RESOURCE_STUDENT_IMAGE_21</t>
  </si>
  <si>
    <t>RESOURCE_STUDENT_IMAGE_22</t>
  </si>
  <si>
    <t>RESOURCE_STUDENT_IMAGE_23</t>
  </si>
  <si>
    <t>RESOURCE_STUDENT_IMAGE_24</t>
  </si>
  <si>
    <t>RESOURCE_STUDENT_IMAGE_25</t>
  </si>
  <si>
    <t>RESOURCE_STUDENT_IMAGE_26</t>
  </si>
  <si>
    <t>RESOURCE_STUDENT_IMAGE_27</t>
  </si>
  <si>
    <t>RESOURCE_STUDENT_IMAGE_28</t>
  </si>
  <si>
    <t>RESOURCE_STUDENT_IMAGE_29</t>
  </si>
  <si>
    <t>RESOURCE_STUDENT_IMAGE_30</t>
  </si>
  <si>
    <t>RESOURCE_STUDENT_IMAGE_31</t>
  </si>
  <si>
    <t>RESOURCE_STUDENT_IMAGE_32</t>
  </si>
  <si>
    <t>RESOURCE_STUDENT_IMAGE_33</t>
  </si>
  <si>
    <t>RESOURCE_STUDENT_IMAGE_34</t>
  </si>
  <si>
    <t>RESOURCE_STUDENT_IMAGE_35</t>
  </si>
  <si>
    <t>RESOURCE_STUDENT_IMAGE_36</t>
  </si>
  <si>
    <t>RESOURCE_STUDENT_IMAGE_37</t>
  </si>
  <si>
    <t>RESOURCE_STUDENT_IMAGE_38</t>
  </si>
  <si>
    <t>RESOURCE_STUDENT_IMAGE_39</t>
  </si>
  <si>
    <t>RESOURCE_STUDENT_IMAGE_40</t>
  </si>
  <si>
    <t>RESOURCE_STUDENT_IMAGE_41</t>
  </si>
  <si>
    <t>RESOURCE_STUDENT_IMAGE_42</t>
  </si>
  <si>
    <t>RESOURCE_STUDENT_IMAGE_43</t>
  </si>
  <si>
    <t>RESOURCE_STUDENT_IMAGE_44</t>
  </si>
  <si>
    <t>RESOURCE_STUDENT_IMAGE_45</t>
  </si>
  <si>
    <t>RESOURCE_STUDENT_IMAGE_46</t>
  </si>
  <si>
    <t>RESOURCE_STUDENT_IMAGE_47</t>
  </si>
  <si>
    <t>RESOURCE_STUDENT_IMAGE_48</t>
  </si>
  <si>
    <t>RESOURCE_STUDENT_IMAGE_49</t>
  </si>
  <si>
    <t>RESOURCE_STUDENT_IMAGE_50</t>
  </si>
  <si>
    <t>RESOURCE_STUDENT_IMAGE_51</t>
  </si>
  <si>
    <t>RESOURCE_STUDENT_IMAGE_52</t>
  </si>
  <si>
    <t>RESOURCE_STUDENT_IMAGE_53</t>
  </si>
  <si>
    <t>RESOURCE_STUDENT_IMAGE_54</t>
  </si>
  <si>
    <t>RESOURCE_STUDENT_IMAGE_55</t>
  </si>
  <si>
    <t>RESOURCE_STUDENT_IMAGE_56</t>
  </si>
  <si>
    <t>RESOURCE_STUDENT_IMAGE_57</t>
  </si>
  <si>
    <t>RESOURCE_STUDENT_IMAGE_58</t>
  </si>
  <si>
    <t>RESOURCE_STUDENT_IMAGE_59</t>
  </si>
  <si>
    <t>RESOURCE_STUDENT_IMAGE_60</t>
  </si>
  <si>
    <t>RESOURCE_STUDENT_IMAGE_61</t>
  </si>
  <si>
    <t>RESOURCE_STUDENT_IMAGE_62</t>
  </si>
  <si>
    <t>RESOURCE_STUDENT_IMAGE_63</t>
  </si>
  <si>
    <t>RESOURCE_STUDENT_IMAGE_64</t>
  </si>
  <si>
    <t>RESOURCE_STUDENT_IMAGE_65</t>
  </si>
  <si>
    <t>RESOURCE_STUDENT_IMAGE_66</t>
  </si>
  <si>
    <t>RESOURCE_STUDENT_IMAGE_67</t>
  </si>
  <si>
    <t>RESOURCE_STUDENT_IMAGE_68</t>
  </si>
  <si>
    <t>RESOURCE_STUDENT_IMAGE_69</t>
  </si>
  <si>
    <t>RESOURCE_STUDENT_IMAGE_70</t>
  </si>
  <si>
    <t>RESOURCE_STUDENT_IMAGE_71</t>
  </si>
  <si>
    <t>RESOURCE_STUDENT_IMAGE_72</t>
  </si>
  <si>
    <t>RESOURCE_STUDENT_IMAGE_73</t>
  </si>
  <si>
    <t>RESOURCE_STUDENT_IMAGE_74</t>
  </si>
  <si>
    <t>RESOURCE_STUDENT_IMAGE_75</t>
  </si>
  <si>
    <t>RESOURCE_STUDENT_IMAGE_76</t>
  </si>
  <si>
    <t>RESOURCE_STUDENT_IMAGE_77</t>
  </si>
  <si>
    <t>RESOURCE_STUDENT_IMAGE_78</t>
  </si>
  <si>
    <t>RESOURCE_STUDENT_IMAGE_79</t>
  </si>
  <si>
    <t>RESOURCE_STUDENT_IMAGE_80</t>
  </si>
  <si>
    <t>RESOURCE_STUDENT_IMAGE_81</t>
  </si>
  <si>
    <t>RESOURCE_STUDENT_IMAGE_82</t>
  </si>
  <si>
    <t>RESOURCE_STUDENT_IMAGE_83</t>
  </si>
  <si>
    <t>RESOURCE_STUDENT_IMAGE_84</t>
  </si>
  <si>
    <t>RESOURCE_STUDENT_IMAGE_85</t>
  </si>
  <si>
    <t>RESOURCE_STUDENT_IMAGE_86</t>
  </si>
  <si>
    <t>RESOURCE_STUDENT_IMAGE_87</t>
  </si>
  <si>
    <t>RESOURCE_STUDENT_IMAGE_88</t>
  </si>
  <si>
    <t>RESOURCE_STUDENT_IMAGE_89</t>
  </si>
  <si>
    <t>RESOURCE_STUDENT_IMAGE_90</t>
  </si>
  <si>
    <t>RESOURCE_STUDENT_IMAGE_91</t>
  </si>
  <si>
    <t>RESOURCE_STUDENT_IMAGE_92</t>
  </si>
  <si>
    <t>RESOURCE_STUDENT_IMAGE_93</t>
  </si>
  <si>
    <t>RESOURCE_STUDENT_IMAGE_94</t>
  </si>
  <si>
    <t>RESOURCE_STUDENT_IMAGE_95</t>
  </si>
  <si>
    <t>RESOURCE_STUDENT_IMAGE_96</t>
  </si>
  <si>
    <t>RESOURCE_WALLPAPER_1</t>
    <phoneticPr fontId="1" type="noConversion"/>
  </si>
  <si>
    <t>RESOURCE_WALLPAPER_2</t>
  </si>
  <si>
    <t>RESOURCE_WALLPAPER_3</t>
  </si>
  <si>
    <t>RESOURCE_WALLPAPER_4</t>
  </si>
  <si>
    <t>RESOURCE_WALLPAPER_5</t>
  </si>
  <si>
    <t>RESOURCE_WALLPAPER_6</t>
  </si>
  <si>
    <t>RESOURCE_WALLPAPER_7</t>
  </si>
  <si>
    <t>RESOURCE_WALLPAPER_8</t>
  </si>
  <si>
    <t>RESOURCE_WALLPAPER_9</t>
  </si>
  <si>
    <t>RESOURCE_WALLPAPER_10</t>
  </si>
  <si>
    <t>RESOURCE_WALLPAPER_11</t>
  </si>
  <si>
    <t>RESOURCE_WALLPAPER_12</t>
  </si>
  <si>
    <t>#리소스 내용 설명</t>
    <phoneticPr fontId="43" type="noConversion"/>
  </si>
  <si>
    <t>RESOURCE_FIGURE_1</t>
    <phoneticPr fontId="1" type="noConversion"/>
  </si>
  <si>
    <t>RESOURCE_FIGURE_2</t>
  </si>
  <si>
    <t>RESOURCE_FIGURE_3</t>
  </si>
  <si>
    <t>RESOURCE_FIGURE_4</t>
  </si>
  <si>
    <t>RESOURCE_FIGURE_5</t>
  </si>
  <si>
    <t>RESOURCE_FIGURE_6</t>
  </si>
  <si>
    <t>RESOURCE_FIGURE_7</t>
  </si>
  <si>
    <t>RESOURCE_FIGURE_8</t>
  </si>
  <si>
    <t>RESOURCE_FIGURE_9</t>
  </si>
  <si>
    <t>리소스_배경_1</t>
    <phoneticPr fontId="1" type="noConversion"/>
  </si>
  <si>
    <t>리소스_배경_2</t>
  </si>
  <si>
    <t>리소스_배경_3</t>
  </si>
  <si>
    <t>리소스_배경_4</t>
  </si>
  <si>
    <t>리소스_배경_5</t>
  </si>
  <si>
    <t>리소스_배경_6</t>
  </si>
  <si>
    <t>리소스_배경_7</t>
  </si>
  <si>
    <t>리소스_배경_8</t>
  </si>
  <si>
    <t>리소스_배경_9</t>
  </si>
  <si>
    <t>리소스_배경_10</t>
  </si>
  <si>
    <t>리소스_배경_11</t>
  </si>
  <si>
    <t>리소스_배경_12</t>
  </si>
  <si>
    <t>리소스_도형_1</t>
    <phoneticPr fontId="1" type="noConversion"/>
  </si>
  <si>
    <t>리소스_도형_2</t>
  </si>
  <si>
    <t>리소스_도형_3</t>
  </si>
  <si>
    <t>리소스_도형_4</t>
  </si>
  <si>
    <t>리소스_도형_5</t>
  </si>
  <si>
    <t>리소스_도형_6</t>
  </si>
  <si>
    <t>리소스_도형_7</t>
  </si>
  <si>
    <t>리소스_도형_8</t>
  </si>
  <si>
    <t>리소스_도형_9</t>
  </si>
  <si>
    <t>STRING_KEY</t>
  </si>
  <si>
    <t>DESC</t>
  </si>
  <si>
    <t>ID 카드 커스텀 대회</t>
    <phoneticPr fontId="1" type="noConversion"/>
  </si>
  <si>
    <t>ID 카드 편집</t>
    <phoneticPr fontId="1" type="noConversion"/>
  </si>
  <si>
    <t>텍스트</t>
    <phoneticPr fontId="1" type="noConversion"/>
  </si>
  <si>
    <t>저장</t>
    <phoneticPr fontId="1" type="noConversion"/>
  </si>
  <si>
    <t>배치 제한 {0}/2000</t>
    <phoneticPr fontId="1" type="noConversion"/>
  </si>
  <si>
    <t>ID 카드 투표</t>
    <phoneticPr fontId="1" type="noConversion"/>
  </si>
  <si>
    <t>투표 가능 횟수 {0}/30</t>
    <phoneticPr fontId="1" type="noConversion"/>
  </si>
  <si>
    <t>TITLE_ID_CARD_CUSTOM_CONFERENCE</t>
    <phoneticPr fontId="1" type="noConversion"/>
  </si>
  <si>
    <t>TITLE_ID_CARD_CUSTOM_EDIT</t>
    <phoneticPr fontId="1" type="noConversion"/>
  </si>
  <si>
    <t>TITLE_ID_CARD_CUSTOM_VOTE</t>
    <phoneticPr fontId="1" type="noConversion"/>
  </si>
  <si>
    <t>BUTTON_ID_CARD_VOTE</t>
    <phoneticPr fontId="1" type="noConversion"/>
  </si>
  <si>
    <t>BUTTON_ID_CARD_EDIT_SUBMIT</t>
    <phoneticPr fontId="1" type="noConversion"/>
  </si>
  <si>
    <t>BUTTON_ID_CARD_EDIT_VOTE</t>
    <phoneticPr fontId="1" type="noConversion"/>
  </si>
  <si>
    <t>RESOURCE_ID_CARD_CHARACTER</t>
    <phoneticPr fontId="1" type="noConversion"/>
  </si>
  <si>
    <t>RESOURCE_ID_CARD_WALLPAPER</t>
    <phoneticPr fontId="1" type="noConversion"/>
  </si>
  <si>
    <t>RESOURCE_ID_CARD_INFORMATION</t>
    <phoneticPr fontId="1" type="noConversion"/>
  </si>
  <si>
    <t>RESOURCE_ID_CARD_FIGURE</t>
    <phoneticPr fontId="1" type="noConversion"/>
  </si>
  <si>
    <t>RESOURCE_ID_CARD_TEXT</t>
    <phoneticPr fontId="1" type="noConversion"/>
  </si>
  <si>
    <t>BUTTON_ID_CARD_EDIT_PREVIEW</t>
    <phoneticPr fontId="1" type="noConversion"/>
  </si>
  <si>
    <t>BUTTON_ID_CARD_EDIT_PRESET</t>
    <phoneticPr fontId="1" type="noConversion"/>
  </si>
  <si>
    <t>BUTTON_ID_CARD_EDIT_INITIAL</t>
    <phoneticPr fontId="1" type="noConversion"/>
  </si>
  <si>
    <t>BUTTON_ID_CARD_EDIT_SAVE</t>
    <phoneticPr fontId="1" type="noConversion"/>
  </si>
  <si>
    <t>LIMIT_ARRANGE_{0}</t>
    <phoneticPr fontId="1" type="noConversion"/>
  </si>
  <si>
    <t>VOTE_QTY_{0}</t>
    <phoneticPr fontId="1" type="noConversion"/>
  </si>
  <si>
    <t>BUTTON_ID_CARD_VOTE_REWARD</t>
    <phoneticPr fontId="1" type="noConversion"/>
  </si>
  <si>
    <t>EOD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</si>
</sst>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i/>
      <sz val="16"/>
      <color theme="7" tint="0.59999389629810485"/>
      <name val="맑은 고딕"/>
      <family val="3"/>
      <charset val="129"/>
      <scheme val="minor"/>
    </font>
    <font>
      <b/>
      <i/>
      <sz val="12"/>
      <color rgb="FFF3F3F1"/>
      <name val="맑은 고딕"/>
      <family val="3"/>
      <charset val="129"/>
      <scheme val="minor"/>
    </font>
    <font>
      <b/>
      <i/>
      <sz val="10"/>
      <color rgb="FFFDF066"/>
      <name val="맑은 고딕"/>
      <family val="3"/>
      <charset val="129"/>
    </font>
    <font>
      <sz val="8"/>
      <name val="돋움"/>
      <family val="3"/>
      <charset val="129"/>
    </font>
    <font>
      <b/>
      <i/>
      <sz val="10"/>
      <color rgb="FF1B7BD3"/>
      <name val="맑은 고딕"/>
      <family val="3"/>
      <charset val="129"/>
    </font>
    <font>
      <b/>
      <sz val="11"/>
      <color rgb="FFEBE5D9"/>
      <name val="맑은 고딕"/>
      <family val="3"/>
      <charset val="129"/>
    </font>
    <font>
      <sz val="9"/>
      <color rgb="FF34383C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1"/>
      <color rgb="FF1199ED"/>
      <name val="맑은 고딕"/>
      <family val="3"/>
      <charset val="129"/>
    </font>
    <font>
      <sz val="10"/>
      <color rgb="FF34383C"/>
      <name val="맑은 고딕"/>
      <family val="3"/>
      <charset val="129"/>
      <scheme val="minor"/>
    </font>
    <font>
      <b/>
      <sz val="11"/>
      <color rgb="FF34383C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rgb="FFF10D74"/>
      <name val="맑은 고딕"/>
      <family val="3"/>
      <charset val="129"/>
    </font>
    <font>
      <b/>
      <sz val="11"/>
      <color rgb="FF34383C"/>
      <name val="맑은 고딕"/>
      <family val="3"/>
      <charset val="129"/>
      <scheme val="minor"/>
    </font>
    <font>
      <b/>
      <sz val="18"/>
      <color theme="7" tint="0.59999389629810485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9"/>
      <color rgb="FF34383C"/>
      <name val="맑은 고딕"/>
      <family val="2"/>
      <charset val="129"/>
      <scheme val="minor"/>
    </font>
    <font>
      <b/>
      <sz val="11"/>
      <color rgb="FFED6011"/>
      <name val="맑은 고딕"/>
      <family val="3"/>
      <charset val="129"/>
    </font>
    <font>
      <b/>
      <sz val="11"/>
      <color rgb="FF04C825"/>
      <name val="맑은 고딕"/>
      <family val="3"/>
      <charset val="129"/>
    </font>
    <font>
      <b/>
      <sz val="11"/>
      <color rgb="FFC6B90A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4"/>
      <color theme="7" tint="0.59999389629810485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</font>
    <font>
      <b/>
      <sz val="11"/>
      <color rgb="FFF3F3F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34383C"/>
      <name val="맑은 고딕"/>
      <family val="2"/>
      <charset val="129"/>
      <scheme val="minor"/>
    </font>
    <font>
      <u/>
      <sz val="10"/>
      <color rgb="FF34383C"/>
      <name val="맑은 고딕"/>
      <family val="3"/>
      <charset val="129"/>
      <scheme val="minor"/>
    </font>
    <font>
      <i/>
      <sz val="9"/>
      <color rgb="FF34383C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34383C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34383C"/>
      <name val="맑은 고딕"/>
      <family val="3"/>
      <charset val="129"/>
      <scheme val="minor"/>
    </font>
    <font>
      <b/>
      <i/>
      <sz val="9"/>
      <color rgb="FF34383C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sz val="9"/>
      <color rgb="FFFFE598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b/>
      <i/>
      <u/>
      <sz val="10"/>
      <color rgb="FFFD5B2F"/>
      <name val="맑은 고딕"/>
      <family val="3"/>
      <charset val="129"/>
      <scheme val="minor"/>
    </font>
    <font>
      <u/>
      <sz val="10"/>
      <color rgb="FF34383C"/>
      <name val="맑은 고딕"/>
      <family val="2"/>
      <charset val="129"/>
      <scheme val="minor"/>
    </font>
    <font>
      <sz val="10"/>
      <color rgb="FF34383C"/>
      <name val="맑은 고딕"/>
      <family val="3"/>
      <charset val="129"/>
    </font>
    <font>
      <b/>
      <i/>
      <u/>
      <sz val="9"/>
      <color rgb="FFFD5B2F"/>
      <name val="맑은 고딕"/>
      <family val="3"/>
      <charset val="129"/>
      <scheme val="minor"/>
    </font>
    <font>
      <b/>
      <i/>
      <sz val="11"/>
      <color rgb="FFF3F3F1"/>
      <name val="맑은 고딕"/>
      <family val="3"/>
      <charset val="129"/>
      <scheme val="minor"/>
    </font>
    <font>
      <b/>
      <sz val="10"/>
      <color theme="7" tint="0.59999389629810485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3F3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518E"/>
        <bgColor indexed="64"/>
      </patternFill>
    </fill>
    <fill>
      <patternFill patternType="solid">
        <fgColor rgb="FF1D3B5D"/>
        <bgColor indexed="64"/>
      </patternFill>
    </fill>
    <fill>
      <patternFill patternType="solid">
        <fgColor rgb="FFC9D0D5"/>
        <bgColor indexed="64"/>
      </patternFill>
    </fill>
    <fill>
      <patternFill patternType="solid">
        <fgColor rgb="FFA6B1BA"/>
        <bgColor indexed="64"/>
      </patternFill>
    </fill>
    <fill>
      <patternFill patternType="solid">
        <fgColor rgb="FFE5E9EB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9DE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202C"/>
        <bgColor indexed="64"/>
      </patternFill>
    </fill>
    <fill>
      <patternFill patternType="solid">
        <fgColor rgb="FF1B7BD3"/>
        <bgColor rgb="FF1B7BD3"/>
      </patternFill>
    </fill>
    <fill>
      <patternFill patternType="solid">
        <fgColor rgb="FF182848"/>
        <bgColor rgb="FF182848"/>
      </patternFill>
    </fill>
    <fill>
      <patternFill patternType="solid">
        <fgColor rgb="FFE2E5EA"/>
        <bgColor rgb="FFE2E5EA"/>
      </patternFill>
    </fill>
    <fill>
      <patternFill patternType="solid">
        <fgColor rgb="FFD6DCE4"/>
        <bgColor rgb="FFD6DCE4"/>
      </patternFill>
    </fill>
    <fill>
      <patternFill patternType="solid">
        <fgColor rgb="FFE2E5EA"/>
        <bgColor indexed="64"/>
      </patternFill>
    </fill>
    <fill>
      <patternFill patternType="solid">
        <fgColor rgb="FF3C679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20202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medium">
        <color rgb="FFF10D74"/>
      </left>
      <right/>
      <top style="medium">
        <color rgb="FFF10D74"/>
      </top>
      <bottom/>
      <diagonal/>
    </border>
    <border>
      <left/>
      <right/>
      <top style="medium">
        <color rgb="FFF10D74"/>
      </top>
      <bottom/>
      <diagonal/>
    </border>
    <border>
      <left/>
      <right style="thin">
        <color indexed="64"/>
      </right>
      <top style="medium">
        <color rgb="FFF10D74"/>
      </top>
      <bottom/>
      <diagonal/>
    </border>
    <border>
      <left style="thin">
        <color indexed="64"/>
      </left>
      <right/>
      <top style="medium">
        <color rgb="FFF10D74"/>
      </top>
      <bottom/>
      <diagonal/>
    </border>
    <border>
      <left/>
      <right style="medium">
        <color rgb="FFF10D74"/>
      </right>
      <top style="medium">
        <color rgb="FFF10D74"/>
      </top>
      <bottom/>
      <diagonal/>
    </border>
    <border>
      <left style="medium">
        <color rgb="FFF10D74"/>
      </left>
      <right/>
      <top/>
      <bottom style="medium">
        <color rgb="FFF10D74"/>
      </bottom>
      <diagonal/>
    </border>
    <border>
      <left/>
      <right/>
      <top/>
      <bottom style="medium">
        <color rgb="FFF10D74"/>
      </bottom>
      <diagonal/>
    </border>
    <border>
      <left/>
      <right style="thin">
        <color indexed="64"/>
      </right>
      <top/>
      <bottom style="medium">
        <color rgb="FFF10D74"/>
      </bottom>
      <diagonal/>
    </border>
    <border>
      <left style="thin">
        <color indexed="64"/>
      </left>
      <right/>
      <top/>
      <bottom style="medium">
        <color rgb="FFF10D74"/>
      </bottom>
      <diagonal/>
    </border>
    <border>
      <left/>
      <right style="medium">
        <color rgb="FFF10D74"/>
      </right>
      <top/>
      <bottom style="medium">
        <color rgb="FFF10D74"/>
      </bottom>
      <diagonal/>
    </border>
    <border>
      <left style="medium">
        <color rgb="FFF10D74"/>
      </left>
      <right/>
      <top/>
      <bottom/>
      <diagonal/>
    </border>
    <border>
      <left/>
      <right style="medium">
        <color rgb="FFF10D74"/>
      </right>
      <top/>
      <bottom/>
      <diagonal/>
    </border>
    <border>
      <left/>
      <right style="medium">
        <color rgb="FFF10D74"/>
      </right>
      <top/>
      <bottom style="thin">
        <color indexed="64"/>
      </bottom>
      <diagonal/>
    </border>
    <border>
      <left/>
      <right style="medium">
        <color rgb="FFF10D74"/>
      </right>
      <top style="thin">
        <color indexed="64"/>
      </top>
      <bottom/>
      <diagonal/>
    </border>
    <border>
      <left style="medium">
        <color rgb="FFF10D74"/>
      </left>
      <right/>
      <top style="medium">
        <color rgb="FFF10D74"/>
      </top>
      <bottom style="medium">
        <color rgb="FFF10D74"/>
      </bottom>
      <diagonal/>
    </border>
    <border>
      <left/>
      <right/>
      <top style="medium">
        <color rgb="FFF10D74"/>
      </top>
      <bottom style="medium">
        <color rgb="FFF10D74"/>
      </bottom>
      <diagonal/>
    </border>
    <border>
      <left/>
      <right style="medium">
        <color rgb="FFF10D74"/>
      </right>
      <top style="medium">
        <color rgb="FFF10D74"/>
      </top>
      <bottom style="medium">
        <color rgb="FFF10D74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F10D74"/>
      </right>
      <top/>
      <bottom style="thin">
        <color theme="1"/>
      </bottom>
      <diagonal/>
    </border>
    <border>
      <left style="medium">
        <color rgb="FFF10D74"/>
      </left>
      <right/>
      <top/>
      <bottom style="thin">
        <color theme="1"/>
      </bottom>
      <diagonal/>
    </border>
    <border>
      <left/>
      <right style="thin">
        <color theme="1"/>
      </right>
      <top style="medium">
        <color rgb="FFF10D74"/>
      </top>
      <bottom/>
      <diagonal/>
    </border>
    <border>
      <left style="thin">
        <color theme="1"/>
      </left>
      <right/>
      <top style="medium">
        <color rgb="FFF10D74"/>
      </top>
      <bottom/>
      <diagonal/>
    </border>
    <border>
      <left style="thin">
        <color theme="1"/>
      </left>
      <right/>
      <top style="thin">
        <color theme="1"/>
      </top>
      <bottom style="medium">
        <color rgb="FFF10D74"/>
      </bottom>
      <diagonal/>
    </border>
    <border>
      <left/>
      <right/>
      <top style="thin">
        <color theme="1"/>
      </top>
      <bottom style="medium">
        <color rgb="FFF10D74"/>
      </bottom>
      <diagonal/>
    </border>
    <border>
      <left/>
      <right style="thin">
        <color theme="1"/>
      </right>
      <top style="thin">
        <color theme="1"/>
      </top>
      <bottom style="medium">
        <color rgb="FFF10D7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41" fillId="0" borderId="0"/>
    <xf numFmtId="0" fontId="41" fillId="0" borderId="0"/>
    <xf numFmtId="0" fontId="49" fillId="0" borderId="0" applyNumberFormat="0" applyFill="0" applyBorder="0" applyAlignment="0" applyProtection="0">
      <alignment vertical="center"/>
    </xf>
    <xf numFmtId="0" fontId="41" fillId="0" borderId="0"/>
  </cellStyleXfs>
  <cellXfs count="304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2" fillId="2" borderId="0" xfId="1" applyFill="1">
      <alignment vertical="center"/>
    </xf>
    <xf numFmtId="0" fontId="8" fillId="2" borderId="0" xfId="0" applyFont="1" applyFill="1">
      <alignment vertical="center"/>
    </xf>
    <xf numFmtId="0" fontId="9" fillId="2" borderId="0" xfId="1" applyFont="1" applyFill="1">
      <alignment vertical="center"/>
    </xf>
    <xf numFmtId="0" fontId="12" fillId="2" borderId="0" xfId="1" applyFont="1" applyFill="1">
      <alignment vertical="center"/>
    </xf>
    <xf numFmtId="0" fontId="3" fillId="4" borderId="0" xfId="1" applyFont="1" applyFill="1">
      <alignment vertical="center"/>
    </xf>
    <xf numFmtId="0" fontId="3" fillId="5" borderId="0" xfId="1" applyFont="1" applyFill="1">
      <alignment vertical="center"/>
    </xf>
    <xf numFmtId="0" fontId="4" fillId="4" borderId="0" xfId="1" applyFont="1" applyFill="1">
      <alignment vertical="center"/>
    </xf>
    <xf numFmtId="0" fontId="5" fillId="4" borderId="0" xfId="0" applyFont="1" applyFill="1">
      <alignment vertical="center"/>
    </xf>
    <xf numFmtId="0" fontId="12" fillId="2" borderId="0" xfId="1" quotePrefix="1" applyFont="1" applyFill="1">
      <alignment vertical="center"/>
    </xf>
    <xf numFmtId="0" fontId="3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5" fillId="2" borderId="0" xfId="0" applyFont="1" applyFill="1">
      <alignment vertical="center"/>
    </xf>
    <xf numFmtId="0" fontId="17" fillId="5" borderId="0" xfId="1" applyFont="1" applyFill="1">
      <alignment vertical="center"/>
    </xf>
    <xf numFmtId="0" fontId="19" fillId="2" borderId="0" xfId="0" applyFont="1" applyFill="1">
      <alignment vertical="center"/>
    </xf>
    <xf numFmtId="0" fontId="14" fillId="3" borderId="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" xfId="0" applyFont="1" applyFill="1" applyBorder="1">
      <alignment vertical="center"/>
    </xf>
    <xf numFmtId="0" fontId="14" fillId="3" borderId="2" xfId="0" applyFont="1" applyFill="1" applyBorder="1">
      <alignment vertical="center"/>
    </xf>
    <xf numFmtId="0" fontId="14" fillId="3" borderId="5" xfId="0" applyFont="1" applyFill="1" applyBorder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7" xfId="0" applyFont="1" applyFill="1" applyBorder="1">
      <alignment vertical="center"/>
    </xf>
    <xf numFmtId="0" fontId="14" fillId="3" borderId="8" xfId="0" applyFont="1" applyFill="1" applyBorder="1">
      <alignment vertical="center"/>
    </xf>
    <xf numFmtId="0" fontId="14" fillId="3" borderId="0" xfId="0" applyFont="1" applyFill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3" xfId="0" applyFont="1" applyFill="1" applyBorder="1">
      <alignment vertical="center"/>
    </xf>
    <xf numFmtId="0" fontId="14" fillId="3" borderId="4" xfId="0" applyFont="1" applyFill="1" applyBorder="1">
      <alignment vertical="center"/>
    </xf>
    <xf numFmtId="0" fontId="14" fillId="3" borderId="6" xfId="0" applyFont="1" applyFill="1" applyBorder="1">
      <alignment vertical="center"/>
    </xf>
    <xf numFmtId="0" fontId="14" fillId="3" borderId="8" xfId="0" applyFont="1" applyFill="1" applyBorder="1" applyAlignment="1">
      <alignment horizontal="left" vertical="center"/>
    </xf>
    <xf numFmtId="0" fontId="23" fillId="6" borderId="1" xfId="0" applyFont="1" applyFill="1" applyBorder="1">
      <alignment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left" vertical="center"/>
    </xf>
    <xf numFmtId="0" fontId="24" fillId="6" borderId="8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0" fontId="14" fillId="8" borderId="1" xfId="0" applyFont="1" applyFill="1" applyBorder="1">
      <alignment vertical="center"/>
    </xf>
    <xf numFmtId="0" fontId="14" fillId="8" borderId="2" xfId="0" applyFont="1" applyFill="1" applyBorder="1">
      <alignment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5" xfId="0" applyFont="1" applyFill="1" applyBorder="1">
      <alignment vertical="center"/>
    </xf>
    <xf numFmtId="0" fontId="14" fillId="3" borderId="2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3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24" fillId="6" borderId="1" xfId="0" applyFont="1" applyFill="1" applyBorder="1" applyAlignment="1">
      <alignment horizontal="center" vertical="center"/>
    </xf>
    <xf numFmtId="0" fontId="14" fillId="9" borderId="1" xfId="0" applyFont="1" applyFill="1" applyBorder="1">
      <alignment vertical="center"/>
    </xf>
    <xf numFmtId="0" fontId="14" fillId="9" borderId="2" xfId="0" applyFont="1" applyFill="1" applyBorder="1">
      <alignment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5" xfId="0" applyFont="1" applyFill="1" applyBorder="1">
      <alignment vertical="center"/>
    </xf>
    <xf numFmtId="0" fontId="14" fillId="10" borderId="1" xfId="0" applyFont="1" applyFill="1" applyBorder="1">
      <alignment vertical="center"/>
    </xf>
    <xf numFmtId="0" fontId="14" fillId="10" borderId="2" xfId="0" applyFont="1" applyFill="1" applyBorder="1">
      <alignment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5" xfId="0" applyFont="1" applyFill="1" applyBorder="1">
      <alignment vertical="center"/>
    </xf>
    <xf numFmtId="0" fontId="14" fillId="11" borderId="1" xfId="0" applyFont="1" applyFill="1" applyBorder="1">
      <alignment vertical="center"/>
    </xf>
    <xf numFmtId="0" fontId="14" fillId="11" borderId="2" xfId="0" applyFont="1" applyFill="1" applyBorder="1">
      <alignment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5" xfId="0" applyFont="1" applyFill="1" applyBorder="1">
      <alignment vertical="center"/>
    </xf>
    <xf numFmtId="0" fontId="14" fillId="12" borderId="1" xfId="0" applyFont="1" applyFill="1" applyBorder="1">
      <alignment vertical="center"/>
    </xf>
    <xf numFmtId="0" fontId="14" fillId="12" borderId="2" xfId="0" applyFont="1" applyFill="1" applyBorder="1">
      <alignment vertical="center"/>
    </xf>
    <xf numFmtId="0" fontId="14" fillId="12" borderId="2" xfId="0" applyFont="1" applyFill="1" applyBorder="1" applyAlignment="1">
      <alignment horizontal="center" vertical="center"/>
    </xf>
    <xf numFmtId="0" fontId="14" fillId="12" borderId="5" xfId="0" applyFont="1" applyFill="1" applyBorder="1">
      <alignment vertical="center"/>
    </xf>
    <xf numFmtId="0" fontId="14" fillId="13" borderId="1" xfId="0" applyFont="1" applyFill="1" applyBorder="1">
      <alignment vertical="center"/>
    </xf>
    <xf numFmtId="0" fontId="14" fillId="13" borderId="2" xfId="0" applyFont="1" applyFill="1" applyBorder="1">
      <alignment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5" xfId="0" applyFont="1" applyFill="1" applyBorder="1">
      <alignment vertical="center"/>
    </xf>
    <xf numFmtId="0" fontId="0" fillId="2" borderId="8" xfId="0" applyFill="1" applyBorder="1">
      <alignment vertical="center"/>
    </xf>
    <xf numFmtId="0" fontId="2" fillId="2" borderId="8" xfId="1" applyFill="1" applyBorder="1">
      <alignment vertical="center"/>
    </xf>
    <xf numFmtId="0" fontId="8" fillId="2" borderId="8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2" fillId="2" borderId="11" xfId="1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2" fillId="2" borderId="10" xfId="1" applyFill="1" applyBorder="1">
      <alignment vertical="center"/>
    </xf>
    <xf numFmtId="0" fontId="10" fillId="2" borderId="0" xfId="0" applyFont="1" applyFill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2" fillId="2" borderId="4" xfId="1" applyFill="1" applyBorder="1">
      <alignment vertical="center"/>
    </xf>
    <xf numFmtId="0" fontId="0" fillId="2" borderId="9" xfId="0" applyFill="1" applyBorder="1">
      <alignment vertical="center"/>
    </xf>
    <xf numFmtId="0" fontId="2" fillId="2" borderId="7" xfId="1" applyFill="1" applyBorder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29" fillId="2" borderId="4" xfId="0" applyFont="1" applyFill="1" applyBorder="1">
      <alignment vertical="center"/>
    </xf>
    <xf numFmtId="0" fontId="30" fillId="2" borderId="4" xfId="0" applyFont="1" applyFill="1" applyBorder="1">
      <alignment vertical="center"/>
    </xf>
    <xf numFmtId="0" fontId="2" fillId="2" borderId="0" xfId="0" applyFont="1" applyFill="1">
      <alignment vertical="center"/>
    </xf>
    <xf numFmtId="0" fontId="31" fillId="2" borderId="0" xfId="0" applyFont="1" applyFill="1">
      <alignment vertical="center"/>
    </xf>
    <xf numFmtId="0" fontId="33" fillId="2" borderId="0" xfId="1" quotePrefix="1" applyFont="1" applyFill="1">
      <alignment vertical="center"/>
    </xf>
    <xf numFmtId="0" fontId="34" fillId="2" borderId="0" xfId="0" applyFont="1" applyFill="1">
      <alignment vertical="center"/>
    </xf>
    <xf numFmtId="0" fontId="35" fillId="2" borderId="0" xfId="1" applyFont="1" applyFill="1">
      <alignment vertical="center"/>
    </xf>
    <xf numFmtId="0" fontId="36" fillId="2" borderId="0" xfId="1" applyFont="1" applyFill="1">
      <alignment vertical="center"/>
    </xf>
    <xf numFmtId="0" fontId="37" fillId="2" borderId="0" xfId="1" quotePrefix="1" applyFont="1" applyFill="1" applyAlignment="1">
      <alignment horizontal="center" vertical="center"/>
    </xf>
    <xf numFmtId="0" fontId="37" fillId="2" borderId="0" xfId="1" quotePrefix="1" applyFont="1" applyFill="1">
      <alignment vertical="center"/>
    </xf>
    <xf numFmtId="0" fontId="38" fillId="2" borderId="0" xfId="1" quotePrefix="1" applyFont="1" applyFill="1">
      <alignment vertical="center"/>
    </xf>
    <xf numFmtId="0" fontId="33" fillId="2" borderId="0" xfId="1" quotePrefix="1" applyFont="1" applyFill="1" applyAlignment="1">
      <alignment horizontal="left" vertical="center"/>
    </xf>
    <xf numFmtId="0" fontId="16" fillId="2" borderId="0" xfId="1" quotePrefix="1" applyFont="1" applyFill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0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1" fontId="0" fillId="0" borderId="13" xfId="0" applyNumberFormat="1" applyBorder="1" applyAlignment="1">
      <alignment horizontal="center" vertical="center"/>
    </xf>
    <xf numFmtId="0" fontId="39" fillId="15" borderId="0" xfId="2" applyFont="1" applyFill="1" applyAlignment="1">
      <alignment horizontal="center" vertical="center"/>
    </xf>
    <xf numFmtId="0" fontId="29" fillId="0" borderId="0" xfId="2" applyFont="1" applyAlignment="1">
      <alignment vertical="center"/>
    </xf>
    <xf numFmtId="0" fontId="39" fillId="16" borderId="0" xfId="2" applyFont="1" applyFill="1" applyAlignment="1">
      <alignment horizontal="center" vertical="center"/>
    </xf>
    <xf numFmtId="0" fontId="40" fillId="16" borderId="0" xfId="2" applyFont="1" applyFill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17" borderId="0" xfId="2" applyFont="1" applyFill="1" applyAlignment="1">
      <alignment horizontal="center" vertical="center"/>
    </xf>
    <xf numFmtId="0" fontId="42" fillId="0" borderId="0" xfId="2" applyFont="1" applyAlignment="1">
      <alignment vertical="center"/>
    </xf>
    <xf numFmtId="0" fontId="39" fillId="15" borderId="0" xfId="3" applyFont="1" applyFill="1" applyAlignment="1">
      <alignment horizontal="center" vertical="center"/>
    </xf>
    <xf numFmtId="0" fontId="14" fillId="0" borderId="0" xfId="3" applyFont="1" applyAlignment="1">
      <alignment vertical="center"/>
    </xf>
    <xf numFmtId="0" fontId="14" fillId="0" borderId="13" xfId="3" applyFont="1" applyBorder="1" applyAlignment="1">
      <alignment horizontal="center" vertical="center"/>
    </xf>
    <xf numFmtId="0" fontId="40" fillId="16" borderId="0" xfId="3" applyFont="1" applyFill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46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0" fillId="19" borderId="0" xfId="0" applyFill="1" applyAlignment="1">
      <alignment horizontal="center" vertical="center"/>
    </xf>
    <xf numFmtId="14" fontId="0" fillId="0" borderId="13" xfId="0" quotePrefix="1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7" fillId="18" borderId="7" xfId="0" applyFont="1" applyFill="1" applyBorder="1" applyAlignment="1">
      <alignment horizontal="center" vertical="center"/>
    </xf>
    <xf numFmtId="0" fontId="45" fillId="18" borderId="9" xfId="0" applyFont="1" applyFill="1" applyBorder="1" applyAlignment="1">
      <alignment horizontal="center" vertical="center"/>
    </xf>
    <xf numFmtId="0" fontId="44" fillId="16" borderId="10" xfId="0" applyFont="1" applyFill="1" applyBorder="1" applyAlignment="1">
      <alignment horizontal="center" vertical="center"/>
    </xf>
    <xf numFmtId="0" fontId="44" fillId="16" borderId="1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45" fillId="18" borderId="9" xfId="0" applyFont="1" applyFill="1" applyBorder="1">
      <alignment vertical="center"/>
    </xf>
    <xf numFmtId="0" fontId="48" fillId="0" borderId="23" xfId="2" applyFont="1" applyBorder="1" applyAlignment="1">
      <alignment horizontal="center" vertical="center"/>
    </xf>
    <xf numFmtId="0" fontId="48" fillId="0" borderId="24" xfId="2" applyFont="1" applyBorder="1" applyAlignment="1">
      <alignment horizontal="center" vertical="center"/>
    </xf>
    <xf numFmtId="0" fontId="51" fillId="2" borderId="0" xfId="0" applyFont="1" applyFill="1">
      <alignment vertical="center"/>
    </xf>
    <xf numFmtId="0" fontId="50" fillId="2" borderId="0" xfId="4" applyFont="1" applyFill="1" applyBorder="1">
      <alignment vertical="center"/>
    </xf>
    <xf numFmtId="0" fontId="2" fillId="2" borderId="25" xfId="1" applyFill="1" applyBorder="1">
      <alignment vertical="center"/>
    </xf>
    <xf numFmtId="0" fontId="2" fillId="2" borderId="26" xfId="1" applyFill="1" applyBorder="1">
      <alignment vertical="center"/>
    </xf>
    <xf numFmtId="0" fontId="2" fillId="2" borderId="27" xfId="1" applyFill="1" applyBorder="1">
      <alignment vertical="center"/>
    </xf>
    <xf numFmtId="0" fontId="2" fillId="2" borderId="28" xfId="1" applyFill="1" applyBorder="1">
      <alignment vertical="center"/>
    </xf>
    <xf numFmtId="0" fontId="2" fillId="2" borderId="29" xfId="1" applyFill="1" applyBorder="1">
      <alignment vertical="center"/>
    </xf>
    <xf numFmtId="0" fontId="2" fillId="2" borderId="30" xfId="1" applyFill="1" applyBorder="1">
      <alignment vertical="center"/>
    </xf>
    <xf numFmtId="0" fontId="2" fillId="2" borderId="31" xfId="1" applyFill="1" applyBorder="1">
      <alignment vertical="center"/>
    </xf>
    <xf numFmtId="0" fontId="2" fillId="2" borderId="32" xfId="1" applyFill="1" applyBorder="1">
      <alignment vertical="center"/>
    </xf>
    <xf numFmtId="0" fontId="2" fillId="2" borderId="33" xfId="1" applyFill="1" applyBorder="1">
      <alignment vertical="center"/>
    </xf>
    <xf numFmtId="0" fontId="2" fillId="2" borderId="34" xfId="1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7" xfId="0" applyFill="1" applyBorder="1">
      <alignment vertical="center"/>
    </xf>
    <xf numFmtId="0" fontId="9" fillId="2" borderId="29" xfId="1" applyFont="1" applyFill="1" applyBorder="1">
      <alignment vertical="center"/>
    </xf>
    <xf numFmtId="0" fontId="0" fillId="2" borderId="35" xfId="0" applyFill="1" applyBorder="1">
      <alignment vertical="center"/>
    </xf>
    <xf numFmtId="0" fontId="9" fillId="2" borderId="36" xfId="1" applyFont="1" applyFill="1" applyBorder="1">
      <alignment vertical="center"/>
    </xf>
    <xf numFmtId="0" fontId="0" fillId="2" borderId="30" xfId="0" applyFill="1" applyBorder="1">
      <alignment vertical="center"/>
    </xf>
    <xf numFmtId="0" fontId="0" fillId="2" borderId="31" xfId="0" applyFill="1" applyBorder="1">
      <alignment vertical="center"/>
    </xf>
    <xf numFmtId="0" fontId="0" fillId="2" borderId="32" xfId="0" applyFill="1" applyBorder="1">
      <alignment vertical="center"/>
    </xf>
    <xf numFmtId="0" fontId="9" fillId="2" borderId="34" xfId="1" applyFont="1" applyFill="1" applyBorder="1">
      <alignment vertical="center"/>
    </xf>
    <xf numFmtId="0" fontId="0" fillId="2" borderId="29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4" xfId="0" applyFill="1" applyBorder="1">
      <alignment vertical="center"/>
    </xf>
    <xf numFmtId="0" fontId="8" fillId="2" borderId="25" xfId="0" applyFont="1" applyFill="1" applyBorder="1">
      <alignment vertical="center"/>
    </xf>
    <xf numFmtId="0" fontId="12" fillId="2" borderId="29" xfId="1" quotePrefix="1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12" fillId="2" borderId="34" xfId="1" quotePrefix="1" applyFont="1" applyFill="1" applyBorder="1">
      <alignment vertical="center"/>
    </xf>
    <xf numFmtId="0" fontId="8" fillId="2" borderId="26" xfId="0" applyFont="1" applyFill="1" applyBorder="1">
      <alignment vertical="center"/>
    </xf>
    <xf numFmtId="0" fontId="2" fillId="2" borderId="35" xfId="1" applyFill="1" applyBorder="1">
      <alignment vertical="center"/>
    </xf>
    <xf numFmtId="0" fontId="2" fillId="2" borderId="36" xfId="1" applyFill="1" applyBorder="1">
      <alignment vertical="center"/>
    </xf>
    <xf numFmtId="0" fontId="12" fillId="2" borderId="26" xfId="1" quotePrefix="1" applyFont="1" applyFill="1" applyBorder="1">
      <alignment vertical="center"/>
    </xf>
    <xf numFmtId="0" fontId="12" fillId="2" borderId="31" xfId="1" quotePrefix="1" applyFont="1" applyFill="1" applyBorder="1">
      <alignment vertical="center"/>
    </xf>
    <xf numFmtId="0" fontId="12" fillId="2" borderId="25" xfId="1" quotePrefix="1" applyFont="1" applyFill="1" applyBorder="1">
      <alignment vertical="center"/>
    </xf>
    <xf numFmtId="0" fontId="0" fillId="2" borderId="39" xfId="0" applyFill="1" applyBorder="1">
      <alignment vertical="center"/>
    </xf>
    <xf numFmtId="0" fontId="0" fillId="2" borderId="40" xfId="0" applyFill="1" applyBorder="1">
      <alignment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>
      <alignment vertical="center"/>
    </xf>
    <xf numFmtId="0" fontId="2" fillId="2" borderId="15" xfId="1" applyFill="1" applyBorder="1">
      <alignment vertical="center"/>
    </xf>
    <xf numFmtId="0" fontId="2" fillId="2" borderId="42" xfId="1" applyFill="1" applyBorder="1">
      <alignment vertical="center"/>
    </xf>
    <xf numFmtId="0" fontId="2" fillId="2" borderId="43" xfId="1" applyFill="1" applyBorder="1">
      <alignment vertical="center"/>
    </xf>
    <xf numFmtId="0" fontId="2" fillId="2" borderId="44" xfId="1" applyFill="1" applyBorder="1">
      <alignment vertical="center"/>
    </xf>
    <xf numFmtId="0" fontId="2" fillId="2" borderId="16" xfId="1" applyFill="1" applyBorder="1">
      <alignment vertical="center"/>
    </xf>
    <xf numFmtId="0" fontId="2" fillId="2" borderId="19" xfId="1" applyFill="1" applyBorder="1">
      <alignment vertical="center"/>
    </xf>
    <xf numFmtId="0" fontId="2" fillId="2" borderId="45" xfId="1" applyFill="1" applyBorder="1">
      <alignment vertical="center"/>
    </xf>
    <xf numFmtId="0" fontId="2" fillId="2" borderId="46" xfId="1" applyFill="1" applyBorder="1">
      <alignment vertical="center"/>
    </xf>
    <xf numFmtId="0" fontId="2" fillId="2" borderId="47" xfId="1" applyFill="1" applyBorder="1">
      <alignment vertical="center"/>
    </xf>
    <xf numFmtId="0" fontId="2" fillId="2" borderId="20" xfId="1" applyFill="1" applyBorder="1">
      <alignment vertical="center"/>
    </xf>
    <xf numFmtId="0" fontId="0" fillId="2" borderId="15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45" xfId="0" applyFill="1" applyBorder="1">
      <alignment vertical="center"/>
    </xf>
    <xf numFmtId="0" fontId="0" fillId="2" borderId="20" xfId="0" applyFill="1" applyBorder="1">
      <alignment vertical="center"/>
    </xf>
    <xf numFmtId="0" fontId="8" fillId="2" borderId="15" xfId="0" applyFont="1" applyFill="1" applyBorder="1">
      <alignment vertical="center"/>
    </xf>
    <xf numFmtId="0" fontId="12" fillId="2" borderId="16" xfId="1" quotePrefix="1" applyFont="1" applyFill="1" applyBorder="1">
      <alignment vertical="center"/>
    </xf>
    <xf numFmtId="0" fontId="8" fillId="2" borderId="19" xfId="0" applyFont="1" applyFill="1" applyBorder="1">
      <alignment vertical="center"/>
    </xf>
    <xf numFmtId="0" fontId="12" fillId="2" borderId="20" xfId="1" quotePrefix="1" applyFont="1" applyFill="1" applyBorder="1">
      <alignment vertical="center"/>
    </xf>
    <xf numFmtId="0" fontId="8" fillId="2" borderId="42" xfId="0" applyFont="1" applyFill="1" applyBorder="1">
      <alignment vertical="center"/>
    </xf>
    <xf numFmtId="0" fontId="0" fillId="2" borderId="17" xfId="0" applyFill="1" applyBorder="1">
      <alignment vertical="center"/>
    </xf>
    <xf numFmtId="0" fontId="2" fillId="2" borderId="18" xfId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54" xfId="0" applyFill="1" applyBorder="1">
      <alignment vertical="center"/>
    </xf>
    <xf numFmtId="0" fontId="0" fillId="2" borderId="51" xfId="0" applyFill="1" applyBorder="1">
      <alignment vertical="center"/>
    </xf>
    <xf numFmtId="0" fontId="8" fillId="2" borderId="35" xfId="0" applyFont="1" applyFill="1" applyBorder="1">
      <alignment vertical="center"/>
    </xf>
    <xf numFmtId="0" fontId="0" fillId="2" borderId="55" xfId="0" applyFill="1" applyBorder="1">
      <alignment vertical="center"/>
    </xf>
    <xf numFmtId="0" fontId="0" fillId="2" borderId="56" xfId="0" applyFill="1" applyBorder="1">
      <alignment vertical="center"/>
    </xf>
    <xf numFmtId="0" fontId="0" fillId="2" borderId="57" xfId="0" applyFill="1" applyBorder="1">
      <alignment vertical="center"/>
    </xf>
    <xf numFmtId="0" fontId="39" fillId="15" borderId="0" xfId="5" applyFont="1" applyFill="1" applyAlignment="1">
      <alignment horizontal="center" vertical="center"/>
    </xf>
    <xf numFmtId="0" fontId="46" fillId="0" borderId="0" xfId="5" applyFont="1" applyAlignment="1">
      <alignment vertical="center"/>
    </xf>
    <xf numFmtId="0" fontId="39" fillId="16" borderId="0" xfId="5" applyFont="1" applyFill="1" applyAlignment="1">
      <alignment horizontal="center" vertical="center"/>
    </xf>
    <xf numFmtId="0" fontId="40" fillId="16" borderId="0" xfId="5" applyFont="1" applyFill="1" applyAlignment="1">
      <alignment horizontal="center" vertical="center"/>
    </xf>
    <xf numFmtId="0" fontId="14" fillId="0" borderId="13" xfId="5" applyFont="1" applyBorder="1" applyAlignment="1">
      <alignment horizontal="center" vertical="center"/>
    </xf>
    <xf numFmtId="0" fontId="14" fillId="17" borderId="0" xfId="5" applyFont="1" applyFill="1" applyAlignment="1">
      <alignment horizontal="center" vertical="center"/>
    </xf>
    <xf numFmtId="0" fontId="14" fillId="0" borderId="0" xfId="5" applyFont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39" fillId="15" borderId="0" xfId="3" applyFont="1" applyFill="1" applyAlignment="1">
      <alignment horizontal="left" vertical="center"/>
    </xf>
    <xf numFmtId="0" fontId="40" fillId="16" borderId="0" xfId="3" applyFont="1" applyFill="1" applyAlignment="1">
      <alignment horizontal="left" vertical="center"/>
    </xf>
    <xf numFmtId="0" fontId="39" fillId="15" borderId="0" xfId="0" applyFont="1" applyFill="1" applyAlignment="1">
      <alignment horizontal="left" vertical="center"/>
    </xf>
    <xf numFmtId="0" fontId="40" fillId="16" borderId="0" xfId="0" applyFont="1" applyFill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50" fillId="2" borderId="0" xfId="4" quotePrefix="1" applyFont="1" applyFill="1">
      <alignment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50" fillId="2" borderId="0" xfId="4" applyFont="1" applyFill="1" applyBorder="1">
      <alignment vertical="center"/>
    </xf>
    <xf numFmtId="0" fontId="2" fillId="2" borderId="48" xfId="1" applyFill="1" applyBorder="1" applyAlignment="1">
      <alignment horizontal="center" vertical="center"/>
    </xf>
    <xf numFmtId="0" fontId="2" fillId="2" borderId="49" xfId="1" applyFill="1" applyBorder="1" applyAlignment="1">
      <alignment horizontal="center" vertical="center"/>
    </xf>
    <xf numFmtId="0" fontId="2" fillId="2" borderId="50" xfId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39" xfId="1" applyFill="1" applyBorder="1" applyAlignment="1">
      <alignment horizontal="center" vertical="center"/>
    </xf>
    <xf numFmtId="0" fontId="2" fillId="2" borderId="40" xfId="1" applyFill="1" applyBorder="1" applyAlignment="1">
      <alignment horizontal="center" vertical="center"/>
    </xf>
    <xf numFmtId="0" fontId="2" fillId="2" borderId="41" xfId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52" fillId="2" borderId="25" xfId="0" applyFont="1" applyFill="1" applyBorder="1" applyAlignment="1">
      <alignment horizontal="center" vertical="center"/>
    </xf>
    <xf numFmtId="0" fontId="52" fillId="2" borderId="26" xfId="0" applyFont="1" applyFill="1" applyBorder="1" applyAlignment="1">
      <alignment horizontal="center" vertical="center"/>
    </xf>
    <xf numFmtId="0" fontId="52" fillId="2" borderId="53" xfId="0" applyFont="1" applyFill="1" applyBorder="1" applyAlignment="1">
      <alignment horizontal="center" vertical="center"/>
    </xf>
    <xf numFmtId="0" fontId="52" fillId="2" borderId="52" xfId="0" applyFont="1" applyFill="1" applyBorder="1" applyAlignment="1">
      <alignment horizontal="center" vertical="center"/>
    </xf>
    <xf numFmtId="0" fontId="52" fillId="2" borderId="45" xfId="0" applyFont="1" applyFill="1" applyBorder="1" applyAlignment="1">
      <alignment horizontal="center" vertical="center"/>
    </xf>
    <xf numFmtId="0" fontId="52" fillId="2" borderId="20" xfId="0" applyFont="1" applyFill="1" applyBorder="1" applyAlignment="1">
      <alignment horizontal="center" vertical="center"/>
    </xf>
    <xf numFmtId="0" fontId="53" fillId="3" borderId="1" xfId="4" applyFont="1" applyFill="1" applyBorder="1" applyAlignment="1">
      <alignment horizontal="left" vertical="center"/>
    </xf>
    <xf numFmtId="0" fontId="53" fillId="3" borderId="2" xfId="4" applyFont="1" applyFill="1" applyBorder="1" applyAlignment="1">
      <alignment horizontal="left" vertical="center"/>
    </xf>
    <xf numFmtId="0" fontId="3" fillId="20" borderId="0" xfId="1" applyFont="1" applyFill="1">
      <alignment vertical="center"/>
    </xf>
    <xf numFmtId="0" fontId="4" fillId="20" borderId="0" xfId="1" applyFont="1" applyFill="1">
      <alignment vertical="center"/>
    </xf>
    <xf numFmtId="0" fontId="54" fillId="20" borderId="0" xfId="1" applyFont="1" applyFill="1">
      <alignment vertical="center"/>
    </xf>
    <xf numFmtId="0" fontId="55" fillId="20" borderId="0" xfId="1" applyFont="1" applyFill="1" applyAlignment="1">
      <alignment horizontal="right" vertical="center"/>
    </xf>
  </cellXfs>
  <cellStyles count="6">
    <cellStyle name="표준" xfId="0" builtinId="0"/>
    <cellStyle name="표준 2" xfId="1" xr:uid="{FA0DF477-F778-424B-ABEA-FB97120918F1}"/>
    <cellStyle name="표준 3" xfId="2" xr:uid="{C93CBC32-9AA4-4934-9227-0040E444F79B}"/>
    <cellStyle name="표준 4" xfId="3" xr:uid="{135FB70A-B1CB-4E8B-A35E-039247BFFB2A}"/>
    <cellStyle name="표준 5" xfId="5" xr:uid="{2CF3E7C3-2444-4E1C-B9AB-C75D02A07B92}"/>
    <cellStyle name="하이퍼링크" xfId="4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5B2F"/>
      <color rgb="FFF10D74"/>
      <color rgb="FF34383C"/>
      <color rgb="FFE2E5EA"/>
      <color rgb="FFFFE598"/>
      <color rgb="FF107FDA"/>
      <color rgb="FFF3F3F1"/>
      <color rgb="FF2DB3EF"/>
      <color rgb="FF1199ED"/>
      <color rgb="FFE9D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2.wdp"/><Relationship Id="rId26" Type="http://schemas.openxmlformats.org/officeDocument/2006/relationships/image" Target="../media/image23.png"/><Relationship Id="rId3" Type="http://schemas.openxmlformats.org/officeDocument/2006/relationships/image" Target="../media/image3.png"/><Relationship Id="rId21" Type="http://schemas.microsoft.com/office/2007/relationships/hdphoto" Target="../media/hdphoto3.wdp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microsoft.com/office/2007/relationships/hdphoto" Target="../media/hdphoto1.wdp"/><Relationship Id="rId20" Type="http://schemas.openxmlformats.org/officeDocument/2006/relationships/image" Target="../media/image18.png"/><Relationship Id="rId29" Type="http://schemas.microsoft.com/office/2007/relationships/hdphoto" Target="../media/hdphoto4.wdp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0.png"/><Relationship Id="rId28" Type="http://schemas.openxmlformats.org/officeDocument/2006/relationships/image" Target="../media/image25.pn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19.png"/><Relationship Id="rId27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20916</xdr:colOff>
      <xdr:row>311</xdr:row>
      <xdr:rowOff>62753</xdr:rowOff>
    </xdr:from>
    <xdr:to>
      <xdr:col>40</xdr:col>
      <xdr:colOff>197223</xdr:colOff>
      <xdr:row>312</xdr:row>
      <xdr:rowOff>152399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E2767FA5-3138-44EC-9611-A0428AD0D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77410" y="45047647"/>
          <a:ext cx="382495" cy="286870"/>
        </a:xfrm>
        <a:prstGeom prst="rect">
          <a:avLst/>
        </a:prstGeom>
      </xdr:spPr>
    </xdr:pic>
    <xdr:clientData/>
  </xdr:twoCellAnchor>
  <xdr:twoCellAnchor>
    <xdr:from>
      <xdr:col>42</xdr:col>
      <xdr:colOff>18158</xdr:colOff>
      <xdr:row>311</xdr:row>
      <xdr:rowOff>62753</xdr:rowOff>
    </xdr:from>
    <xdr:to>
      <xdr:col>43</xdr:col>
      <xdr:colOff>193431</xdr:colOff>
      <xdr:row>312</xdr:row>
      <xdr:rowOff>152399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2D52AC38-A807-4501-B7FA-F6ED2C450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9435" y="54827107"/>
          <a:ext cx="380427" cy="288938"/>
        </a:xfrm>
        <a:prstGeom prst="rect">
          <a:avLst/>
        </a:prstGeom>
      </xdr:spPr>
    </xdr:pic>
    <xdr:clientData/>
  </xdr:twoCellAnchor>
  <xdr:twoCellAnchor>
    <xdr:from>
      <xdr:col>3</xdr:col>
      <xdr:colOff>44822</xdr:colOff>
      <xdr:row>283</xdr:row>
      <xdr:rowOff>170328</xdr:rowOff>
    </xdr:from>
    <xdr:to>
      <xdr:col>5</xdr:col>
      <xdr:colOff>198503</xdr:colOff>
      <xdr:row>286</xdr:row>
      <xdr:rowOff>44823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B5814D2F-9A49-438A-810D-2C8B0B8BA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9928" y="40197740"/>
          <a:ext cx="566057" cy="466165"/>
        </a:xfrm>
        <a:prstGeom prst="rect">
          <a:avLst/>
        </a:prstGeom>
      </xdr:spPr>
    </xdr:pic>
    <xdr:clientData/>
  </xdr:twoCellAnchor>
  <xdr:twoCellAnchor>
    <xdr:from>
      <xdr:col>3</xdr:col>
      <xdr:colOff>26894</xdr:colOff>
      <xdr:row>280</xdr:row>
      <xdr:rowOff>44823</xdr:rowOff>
    </xdr:from>
    <xdr:to>
      <xdr:col>5</xdr:col>
      <xdr:colOff>197224</xdr:colOff>
      <xdr:row>282</xdr:row>
      <xdr:rowOff>188259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73E8F44D-30CE-4353-B502-F2887BCD3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2000" y="39480564"/>
          <a:ext cx="582706" cy="537883"/>
        </a:xfrm>
        <a:prstGeom prst="rect">
          <a:avLst/>
        </a:prstGeom>
      </xdr:spPr>
    </xdr:pic>
    <xdr:clientData/>
  </xdr:twoCellAnchor>
  <xdr:twoCellAnchor>
    <xdr:from>
      <xdr:col>8</xdr:col>
      <xdr:colOff>3463</xdr:colOff>
      <xdr:row>281</xdr:row>
      <xdr:rowOff>30134</xdr:rowOff>
    </xdr:from>
    <xdr:to>
      <xdr:col>12</xdr:col>
      <xdr:colOff>91346</xdr:colOff>
      <xdr:row>281</xdr:row>
      <xdr:rowOff>87305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8043AE7E-7D45-4781-93F7-9DDA75B61492}"/>
            </a:ext>
          </a:extLst>
        </xdr:cNvPr>
        <xdr:cNvSpPr/>
      </xdr:nvSpPr>
      <xdr:spPr>
        <a:xfrm>
          <a:off x="1752599" y="39671452"/>
          <a:ext cx="905302" cy="57171"/>
        </a:xfrm>
        <a:prstGeom prst="rect">
          <a:avLst/>
        </a:prstGeom>
        <a:solidFill>
          <a:srgbClr val="2DB3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63808</xdr:colOff>
      <xdr:row>276</xdr:row>
      <xdr:rowOff>66153</xdr:rowOff>
    </xdr:from>
    <xdr:to>
      <xdr:col>2</xdr:col>
      <xdr:colOff>157654</xdr:colOff>
      <xdr:row>277</xdr:row>
      <xdr:rowOff>158283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1837FCB6-129A-4862-944F-BDAD91E9C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6537" y="38713000"/>
          <a:ext cx="300035" cy="289354"/>
        </a:xfrm>
        <a:prstGeom prst="rect">
          <a:avLst/>
        </a:prstGeom>
      </xdr:spPr>
    </xdr:pic>
    <xdr:clientData/>
  </xdr:twoCellAnchor>
  <xdr:twoCellAnchor>
    <xdr:from>
      <xdr:col>20</xdr:col>
      <xdr:colOff>99848</xdr:colOff>
      <xdr:row>276</xdr:row>
      <xdr:rowOff>47954</xdr:rowOff>
    </xdr:from>
    <xdr:to>
      <xdr:col>26</xdr:col>
      <xdr:colOff>178675</xdr:colOff>
      <xdr:row>277</xdr:row>
      <xdr:rowOff>166970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1B6B0936-E86C-4C0C-96A3-BA91A7CF5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14496" y="39120161"/>
          <a:ext cx="1308538" cy="318712"/>
        </a:xfrm>
        <a:prstGeom prst="rect">
          <a:avLst/>
        </a:prstGeom>
      </xdr:spPr>
    </xdr:pic>
    <xdr:clientData/>
  </xdr:twoCellAnchor>
  <xdr:twoCellAnchor>
    <xdr:from>
      <xdr:col>1</xdr:col>
      <xdr:colOff>5630</xdr:colOff>
      <xdr:row>276</xdr:row>
      <xdr:rowOff>5632</xdr:rowOff>
    </xdr:from>
    <xdr:to>
      <xdr:col>2</xdr:col>
      <xdr:colOff>2359</xdr:colOff>
      <xdr:row>277</xdr:row>
      <xdr:rowOff>9986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CC15EBBD-0F79-4D48-955F-40407C896F30}"/>
            </a:ext>
          </a:extLst>
        </xdr:cNvPr>
        <xdr:cNvSpPr/>
      </xdr:nvSpPr>
      <xdr:spPr>
        <a:xfrm>
          <a:off x="326196" y="39077839"/>
          <a:ext cx="201680" cy="20405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1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5630</xdr:colOff>
      <xdr:row>276</xdr:row>
      <xdr:rowOff>5632</xdr:rowOff>
    </xdr:from>
    <xdr:to>
      <xdr:col>4</xdr:col>
      <xdr:colOff>2360</xdr:colOff>
      <xdr:row>277</xdr:row>
      <xdr:rowOff>9986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9AA90ADE-5184-4D91-A73E-E3469A1B3BC7}"/>
            </a:ext>
          </a:extLst>
        </xdr:cNvPr>
        <xdr:cNvSpPr/>
      </xdr:nvSpPr>
      <xdr:spPr>
        <a:xfrm>
          <a:off x="736099" y="39077839"/>
          <a:ext cx="201682" cy="20405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2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201616</xdr:colOff>
      <xdr:row>276</xdr:row>
      <xdr:rowOff>5632</xdr:rowOff>
    </xdr:from>
    <xdr:to>
      <xdr:col>20</xdr:col>
      <xdr:colOff>199583</xdr:colOff>
      <xdr:row>277</xdr:row>
      <xdr:rowOff>9986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981A5273-19E9-4A75-AC9E-56846591FFE9}"/>
            </a:ext>
          </a:extLst>
        </xdr:cNvPr>
        <xdr:cNvSpPr/>
      </xdr:nvSpPr>
      <xdr:spPr>
        <a:xfrm>
          <a:off x="4211313" y="39077839"/>
          <a:ext cx="202918" cy="20405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3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1920</xdr:colOff>
      <xdr:row>280</xdr:row>
      <xdr:rowOff>1922</xdr:rowOff>
    </xdr:from>
    <xdr:to>
      <xdr:col>3</xdr:col>
      <xdr:colOff>204838</xdr:colOff>
      <xdr:row>281</xdr:row>
      <xdr:rowOff>6277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86532355-844F-4C77-8387-F01D344BA916}"/>
            </a:ext>
          </a:extLst>
        </xdr:cNvPr>
        <xdr:cNvSpPr/>
      </xdr:nvSpPr>
      <xdr:spPr>
        <a:xfrm>
          <a:off x="737026" y="39509381"/>
          <a:ext cx="20291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6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1920</xdr:colOff>
      <xdr:row>283</xdr:row>
      <xdr:rowOff>10886</xdr:rowOff>
    </xdr:from>
    <xdr:to>
      <xdr:col>3</xdr:col>
      <xdr:colOff>204838</xdr:colOff>
      <xdr:row>284</xdr:row>
      <xdr:rowOff>15241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DC200F03-1B06-47BD-89BE-77F7E4A1A5D4}"/>
            </a:ext>
          </a:extLst>
        </xdr:cNvPr>
        <xdr:cNvSpPr/>
      </xdr:nvSpPr>
      <xdr:spPr>
        <a:xfrm>
          <a:off x="737026" y="40038298"/>
          <a:ext cx="20291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7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1920</xdr:colOff>
      <xdr:row>287</xdr:row>
      <xdr:rowOff>1921</xdr:rowOff>
    </xdr:from>
    <xdr:to>
      <xdr:col>3</xdr:col>
      <xdr:colOff>204838</xdr:colOff>
      <xdr:row>288</xdr:row>
      <xdr:rowOff>6275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F2D81B3B-8F4F-4976-9B0B-3EB0EC1D984C}"/>
            </a:ext>
          </a:extLst>
        </xdr:cNvPr>
        <xdr:cNvSpPr/>
      </xdr:nvSpPr>
      <xdr:spPr>
        <a:xfrm>
          <a:off x="737026" y="40692721"/>
          <a:ext cx="20291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8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1920</xdr:colOff>
      <xdr:row>287</xdr:row>
      <xdr:rowOff>1921</xdr:rowOff>
    </xdr:from>
    <xdr:to>
      <xdr:col>11</xdr:col>
      <xdr:colOff>204838</xdr:colOff>
      <xdr:row>288</xdr:row>
      <xdr:rowOff>6275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3907D89E-EEDC-4D04-A39E-8FEBC2D13758}"/>
            </a:ext>
          </a:extLst>
        </xdr:cNvPr>
        <xdr:cNvSpPr/>
      </xdr:nvSpPr>
      <xdr:spPr>
        <a:xfrm>
          <a:off x="2386532" y="40692721"/>
          <a:ext cx="20291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9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1919</xdr:colOff>
      <xdr:row>290</xdr:row>
      <xdr:rowOff>1921</xdr:rowOff>
    </xdr:from>
    <xdr:to>
      <xdr:col>4</xdr:col>
      <xdr:colOff>157163</xdr:colOff>
      <xdr:row>291</xdr:row>
      <xdr:rowOff>6276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8F385743-B513-4F22-AB9F-937EB3AF3843}"/>
            </a:ext>
          </a:extLst>
        </xdr:cNvPr>
        <xdr:cNvSpPr/>
      </xdr:nvSpPr>
      <xdr:spPr>
        <a:xfrm>
          <a:off x="730582" y="41711896"/>
          <a:ext cx="360031" cy="20438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10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1919</xdr:colOff>
      <xdr:row>294</xdr:row>
      <xdr:rowOff>6684</xdr:rowOff>
    </xdr:from>
    <xdr:to>
      <xdr:col>4</xdr:col>
      <xdr:colOff>157163</xdr:colOff>
      <xdr:row>295</xdr:row>
      <xdr:rowOff>11039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049CBB00-D0BB-407B-A987-2EEE6F75B4C8}"/>
            </a:ext>
          </a:extLst>
        </xdr:cNvPr>
        <xdr:cNvSpPr/>
      </xdr:nvSpPr>
      <xdr:spPr>
        <a:xfrm>
          <a:off x="730582" y="42316734"/>
          <a:ext cx="360031" cy="20438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11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6682</xdr:colOff>
      <xdr:row>280</xdr:row>
      <xdr:rowOff>1922</xdr:rowOff>
    </xdr:from>
    <xdr:to>
      <xdr:col>17</xdr:col>
      <xdr:colOff>190500</xdr:colOff>
      <xdr:row>281</xdr:row>
      <xdr:rowOff>6277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B4BD12D7-0173-4977-B01A-B7681293354D}"/>
            </a:ext>
          </a:extLst>
        </xdr:cNvPr>
        <xdr:cNvSpPr/>
      </xdr:nvSpPr>
      <xdr:spPr>
        <a:xfrm>
          <a:off x="3602370" y="39911672"/>
          <a:ext cx="388605" cy="20438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13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1920</xdr:colOff>
      <xdr:row>294</xdr:row>
      <xdr:rowOff>6684</xdr:rowOff>
    </xdr:from>
    <xdr:to>
      <xdr:col>10</xdr:col>
      <xdr:colOff>157163</xdr:colOff>
      <xdr:row>295</xdr:row>
      <xdr:rowOff>11039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CC007567-8E66-4AD0-A6C9-91C505E9F359}"/>
            </a:ext>
          </a:extLst>
        </xdr:cNvPr>
        <xdr:cNvSpPr/>
      </xdr:nvSpPr>
      <xdr:spPr>
        <a:xfrm>
          <a:off x="1974155" y="41809108"/>
          <a:ext cx="361432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12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42862</xdr:colOff>
      <xdr:row>276</xdr:row>
      <xdr:rowOff>26894</xdr:rowOff>
    </xdr:from>
    <xdr:to>
      <xdr:col>14</xdr:col>
      <xdr:colOff>119485</xdr:colOff>
      <xdr:row>277</xdr:row>
      <xdr:rowOff>176213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12B3FACF-B927-41A4-8A91-193CA12AC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6312" y="39136544"/>
          <a:ext cx="2124498" cy="349344"/>
        </a:xfrm>
        <a:prstGeom prst="rect">
          <a:avLst/>
        </a:prstGeom>
      </xdr:spPr>
    </xdr:pic>
    <xdr:clientData/>
  </xdr:twoCellAnchor>
  <xdr:twoCellAnchor>
    <xdr:from>
      <xdr:col>27</xdr:col>
      <xdr:colOff>73572</xdr:colOff>
      <xdr:row>276</xdr:row>
      <xdr:rowOff>47954</xdr:rowOff>
    </xdr:from>
    <xdr:to>
      <xdr:col>33</xdr:col>
      <xdr:colOff>152399</xdr:colOff>
      <xdr:row>277</xdr:row>
      <xdr:rowOff>166970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6EAEC8BF-5E23-449F-9660-C0FE7062ED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22882" y="39120161"/>
          <a:ext cx="1308538" cy="318712"/>
        </a:xfrm>
        <a:prstGeom prst="rect">
          <a:avLst/>
        </a:prstGeom>
      </xdr:spPr>
    </xdr:pic>
    <xdr:clientData/>
  </xdr:twoCellAnchor>
  <xdr:twoCellAnchor>
    <xdr:from>
      <xdr:col>34</xdr:col>
      <xdr:colOff>105104</xdr:colOff>
      <xdr:row>276</xdr:row>
      <xdr:rowOff>47954</xdr:rowOff>
    </xdr:from>
    <xdr:to>
      <xdr:col>40</xdr:col>
      <xdr:colOff>84083</xdr:colOff>
      <xdr:row>277</xdr:row>
      <xdr:rowOff>166970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5D3337F8-5F5E-44F9-A958-846B64191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46133" y="47161325"/>
          <a:ext cx="1230836" cy="314959"/>
        </a:xfrm>
        <a:prstGeom prst="rect">
          <a:avLst/>
        </a:prstGeom>
      </xdr:spPr>
    </xdr:pic>
    <xdr:clientData/>
  </xdr:twoCellAnchor>
  <xdr:twoCellAnchor>
    <xdr:from>
      <xdr:col>41</xdr:col>
      <xdr:colOff>63063</xdr:colOff>
      <xdr:row>276</xdr:row>
      <xdr:rowOff>47954</xdr:rowOff>
    </xdr:from>
    <xdr:to>
      <xdr:col>42</xdr:col>
      <xdr:colOff>183928</xdr:colOff>
      <xdr:row>277</xdr:row>
      <xdr:rowOff>166970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EE40E59A-463E-4787-927F-949C1364B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81546" y="39120161"/>
          <a:ext cx="325816" cy="318712"/>
        </a:xfrm>
        <a:prstGeom prst="rect">
          <a:avLst/>
        </a:prstGeom>
      </xdr:spPr>
    </xdr:pic>
    <xdr:clientData/>
  </xdr:twoCellAnchor>
  <xdr:twoCellAnchor>
    <xdr:from>
      <xdr:col>43</xdr:col>
      <xdr:colOff>73574</xdr:colOff>
      <xdr:row>276</xdr:row>
      <xdr:rowOff>47954</xdr:rowOff>
    </xdr:from>
    <xdr:to>
      <xdr:col>44</xdr:col>
      <xdr:colOff>194438</xdr:colOff>
      <xdr:row>277</xdr:row>
      <xdr:rowOff>166970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38BDDA7E-5FD4-4076-85BE-F9342D95C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01960" y="39120161"/>
          <a:ext cx="325816" cy="318712"/>
        </a:xfrm>
        <a:prstGeom prst="rect">
          <a:avLst/>
        </a:prstGeom>
      </xdr:spPr>
    </xdr:pic>
    <xdr:clientData/>
  </xdr:twoCellAnchor>
  <xdr:twoCellAnchor>
    <xdr:from>
      <xdr:col>43</xdr:col>
      <xdr:colOff>5630</xdr:colOff>
      <xdr:row>276</xdr:row>
      <xdr:rowOff>5632</xdr:rowOff>
    </xdr:from>
    <xdr:to>
      <xdr:col>44</xdr:col>
      <xdr:colOff>2359</xdr:colOff>
      <xdr:row>277</xdr:row>
      <xdr:rowOff>9986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C0FBC6EF-0079-400D-8664-4961EC79DEA0}"/>
            </a:ext>
          </a:extLst>
        </xdr:cNvPr>
        <xdr:cNvSpPr/>
      </xdr:nvSpPr>
      <xdr:spPr>
        <a:xfrm>
          <a:off x="9034016" y="39077839"/>
          <a:ext cx="201681" cy="20405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5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0</xdr:colOff>
      <xdr:row>281</xdr:row>
      <xdr:rowOff>26894</xdr:rowOff>
    </xdr:from>
    <xdr:to>
      <xdr:col>13</xdr:col>
      <xdr:colOff>179294</xdr:colOff>
      <xdr:row>281</xdr:row>
      <xdr:rowOff>90768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4649150A-0771-4101-8E17-706A73B36C9A}"/>
            </a:ext>
          </a:extLst>
        </xdr:cNvPr>
        <xdr:cNvSpPr/>
      </xdr:nvSpPr>
      <xdr:spPr>
        <a:xfrm>
          <a:off x="1766047" y="39659859"/>
          <a:ext cx="1210235" cy="63874"/>
        </a:xfrm>
        <a:prstGeom prst="rect">
          <a:avLst/>
        </a:prstGeom>
        <a:noFill/>
        <a:ln>
          <a:solidFill>
            <a:srgbClr val="34383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63808</xdr:colOff>
      <xdr:row>306</xdr:row>
      <xdr:rowOff>66153</xdr:rowOff>
    </xdr:from>
    <xdr:to>
      <xdr:col>2</xdr:col>
      <xdr:colOff>157654</xdr:colOff>
      <xdr:row>307</xdr:row>
      <xdr:rowOff>158283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54294CA0-F0B7-4794-89D4-79CAB5663E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6537" y="44064929"/>
          <a:ext cx="300035" cy="289354"/>
        </a:xfrm>
        <a:prstGeom prst="rect">
          <a:avLst/>
        </a:prstGeom>
      </xdr:spPr>
    </xdr:pic>
    <xdr:clientData/>
  </xdr:twoCellAnchor>
  <xdr:twoCellAnchor>
    <xdr:from>
      <xdr:col>20</xdr:col>
      <xdr:colOff>99848</xdr:colOff>
      <xdr:row>306</xdr:row>
      <xdr:rowOff>47954</xdr:rowOff>
    </xdr:from>
    <xdr:to>
      <xdr:col>26</xdr:col>
      <xdr:colOff>178675</xdr:colOff>
      <xdr:row>307</xdr:row>
      <xdr:rowOff>166970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BB6E3520-EA75-441D-9F52-100C017FEA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40154" y="44046730"/>
          <a:ext cx="1315956" cy="316240"/>
        </a:xfrm>
        <a:prstGeom prst="rect">
          <a:avLst/>
        </a:prstGeom>
      </xdr:spPr>
    </xdr:pic>
    <xdr:clientData/>
  </xdr:twoCellAnchor>
  <xdr:twoCellAnchor>
    <xdr:from>
      <xdr:col>1</xdr:col>
      <xdr:colOff>5630</xdr:colOff>
      <xdr:row>306</xdr:row>
      <xdr:rowOff>5632</xdr:rowOff>
    </xdr:from>
    <xdr:to>
      <xdr:col>2</xdr:col>
      <xdr:colOff>2359</xdr:colOff>
      <xdr:row>307</xdr:row>
      <xdr:rowOff>9986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905C623F-70FC-4FDB-89D8-FE7B4FFDA7AF}"/>
            </a:ext>
          </a:extLst>
        </xdr:cNvPr>
        <xdr:cNvSpPr/>
      </xdr:nvSpPr>
      <xdr:spPr>
        <a:xfrm>
          <a:off x="328359" y="44004408"/>
          <a:ext cx="20291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1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5630</xdr:colOff>
      <xdr:row>306</xdr:row>
      <xdr:rowOff>5632</xdr:rowOff>
    </xdr:from>
    <xdr:to>
      <xdr:col>4</xdr:col>
      <xdr:colOff>2360</xdr:colOff>
      <xdr:row>307</xdr:row>
      <xdr:rowOff>9986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9D485A9D-A22C-47CF-BD89-6363AB3D43D5}"/>
            </a:ext>
          </a:extLst>
        </xdr:cNvPr>
        <xdr:cNvSpPr/>
      </xdr:nvSpPr>
      <xdr:spPr>
        <a:xfrm>
          <a:off x="740736" y="44004408"/>
          <a:ext cx="20291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2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201616</xdr:colOff>
      <xdr:row>306</xdr:row>
      <xdr:rowOff>5632</xdr:rowOff>
    </xdr:from>
    <xdr:to>
      <xdr:col>20</xdr:col>
      <xdr:colOff>199583</xdr:colOff>
      <xdr:row>307</xdr:row>
      <xdr:rowOff>9986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2C5A2465-501E-4E34-A920-14DD0B1C0FDA}"/>
            </a:ext>
          </a:extLst>
        </xdr:cNvPr>
        <xdr:cNvSpPr/>
      </xdr:nvSpPr>
      <xdr:spPr>
        <a:xfrm>
          <a:off x="4235734" y="44004408"/>
          <a:ext cx="204155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3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73572</xdr:colOff>
      <xdr:row>306</xdr:row>
      <xdr:rowOff>47954</xdr:rowOff>
    </xdr:from>
    <xdr:to>
      <xdr:col>33</xdr:col>
      <xdr:colOff>152399</xdr:colOff>
      <xdr:row>307</xdr:row>
      <xdr:rowOff>166970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51E76F46-56F1-4412-86B9-6E2CD70D1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57196" y="44046730"/>
          <a:ext cx="1315956" cy="316240"/>
        </a:xfrm>
        <a:prstGeom prst="rect">
          <a:avLst/>
        </a:prstGeom>
      </xdr:spPr>
    </xdr:pic>
    <xdr:clientData/>
  </xdr:twoCellAnchor>
  <xdr:twoCellAnchor>
    <xdr:from>
      <xdr:col>34</xdr:col>
      <xdr:colOff>105104</xdr:colOff>
      <xdr:row>306</xdr:row>
      <xdr:rowOff>47954</xdr:rowOff>
    </xdr:from>
    <xdr:to>
      <xdr:col>40</xdr:col>
      <xdr:colOff>84083</xdr:colOff>
      <xdr:row>307</xdr:row>
      <xdr:rowOff>166970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AF64BFE3-1B9B-486A-A592-518A420BC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32045" y="44046730"/>
          <a:ext cx="1314720" cy="316240"/>
        </a:xfrm>
        <a:prstGeom prst="rect">
          <a:avLst/>
        </a:prstGeom>
      </xdr:spPr>
    </xdr:pic>
    <xdr:clientData/>
  </xdr:twoCellAnchor>
  <xdr:twoCellAnchor>
    <xdr:from>
      <xdr:col>41</xdr:col>
      <xdr:colOff>63063</xdr:colOff>
      <xdr:row>306</xdr:row>
      <xdr:rowOff>47954</xdr:rowOff>
    </xdr:from>
    <xdr:to>
      <xdr:col>42</xdr:col>
      <xdr:colOff>183928</xdr:colOff>
      <xdr:row>307</xdr:row>
      <xdr:rowOff>166970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EEFC88D7-70E9-4DED-A165-CD963CFEA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31934" y="44046730"/>
          <a:ext cx="327053" cy="316240"/>
        </a:xfrm>
        <a:prstGeom prst="rect">
          <a:avLst/>
        </a:prstGeom>
      </xdr:spPr>
    </xdr:pic>
    <xdr:clientData/>
  </xdr:twoCellAnchor>
  <xdr:twoCellAnchor>
    <xdr:from>
      <xdr:col>43</xdr:col>
      <xdr:colOff>73574</xdr:colOff>
      <xdr:row>306</xdr:row>
      <xdr:rowOff>47954</xdr:rowOff>
    </xdr:from>
    <xdr:to>
      <xdr:col>44</xdr:col>
      <xdr:colOff>194438</xdr:colOff>
      <xdr:row>307</xdr:row>
      <xdr:rowOff>166970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0ADC1EDF-E76E-430A-92B3-B9D3BF4DF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54821" y="44046730"/>
          <a:ext cx="327052" cy="316240"/>
        </a:xfrm>
        <a:prstGeom prst="rect">
          <a:avLst/>
        </a:prstGeom>
      </xdr:spPr>
    </xdr:pic>
    <xdr:clientData/>
  </xdr:twoCellAnchor>
  <xdr:twoCellAnchor>
    <xdr:from>
      <xdr:col>43</xdr:col>
      <xdr:colOff>5630</xdr:colOff>
      <xdr:row>306</xdr:row>
      <xdr:rowOff>5632</xdr:rowOff>
    </xdr:from>
    <xdr:to>
      <xdr:col>44</xdr:col>
      <xdr:colOff>2359</xdr:colOff>
      <xdr:row>307</xdr:row>
      <xdr:rowOff>9986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54576D55-F209-4695-8085-601B44C03490}"/>
            </a:ext>
          </a:extLst>
        </xdr:cNvPr>
        <xdr:cNvSpPr/>
      </xdr:nvSpPr>
      <xdr:spPr>
        <a:xfrm>
          <a:off x="9086877" y="44004408"/>
          <a:ext cx="202917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5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17930</xdr:colOff>
      <xdr:row>306</xdr:row>
      <xdr:rowOff>26894</xdr:rowOff>
    </xdr:from>
    <xdr:to>
      <xdr:col>10</xdr:col>
      <xdr:colOff>56784</xdr:colOff>
      <xdr:row>307</xdr:row>
      <xdr:rowOff>143436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89849630-6B99-4803-8E7B-99FE47011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9224" y="44025670"/>
          <a:ext cx="1275984" cy="313766"/>
        </a:xfrm>
        <a:prstGeom prst="rect">
          <a:avLst/>
        </a:prstGeom>
      </xdr:spPr>
    </xdr:pic>
    <xdr:clientData/>
  </xdr:twoCellAnchor>
  <xdr:twoCellAnchor>
    <xdr:from>
      <xdr:col>10</xdr:col>
      <xdr:colOff>35858</xdr:colOff>
      <xdr:row>306</xdr:row>
      <xdr:rowOff>8967</xdr:rowOff>
    </xdr:from>
    <xdr:to>
      <xdr:col>12</xdr:col>
      <xdr:colOff>11908</xdr:colOff>
      <xdr:row>307</xdr:row>
      <xdr:rowOff>176215</xdr:rowOff>
    </xdr:to>
    <xdr:pic>
      <xdr:nvPicPr>
        <xdr:cNvPr id="256" name="그림 255">
          <a:extLst>
            <a:ext uri="{FF2B5EF4-FFF2-40B4-BE49-F238E27FC236}">
              <a16:creationId xmlns:a16="http://schemas.microsoft.com/office/drawing/2014/main" id="{C2A0809E-2753-482A-8F63-AC143B94A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77"/>
        <a:stretch/>
      </xdr:blipFill>
      <xdr:spPr>
        <a:xfrm>
          <a:off x="2214282" y="44007743"/>
          <a:ext cx="388426" cy="364472"/>
        </a:xfrm>
        <a:prstGeom prst="rect">
          <a:avLst/>
        </a:prstGeom>
      </xdr:spPr>
    </xdr:pic>
    <xdr:clientData/>
  </xdr:twoCellAnchor>
  <xdr:twoCellAnchor>
    <xdr:from>
      <xdr:col>13</xdr:col>
      <xdr:colOff>8964</xdr:colOff>
      <xdr:row>310</xdr:row>
      <xdr:rowOff>0</xdr:rowOff>
    </xdr:from>
    <xdr:to>
      <xdr:col>14</xdr:col>
      <xdr:colOff>6931</xdr:colOff>
      <xdr:row>311</xdr:row>
      <xdr:rowOff>4355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1762463F-CE77-4531-90E1-4ADABEAB97E0}"/>
            </a:ext>
          </a:extLst>
        </xdr:cNvPr>
        <xdr:cNvSpPr/>
      </xdr:nvSpPr>
      <xdr:spPr>
        <a:xfrm>
          <a:off x="2805952" y="44787671"/>
          <a:ext cx="204155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7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39</xdr:col>
      <xdr:colOff>0</xdr:colOff>
      <xdr:row>311</xdr:row>
      <xdr:rowOff>0</xdr:rowOff>
    </xdr:from>
    <xdr:to>
      <xdr:col>39</xdr:col>
      <xdr:colOff>204155</xdr:colOff>
      <xdr:row>312</xdr:row>
      <xdr:rowOff>4355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9D3B8E71-0949-47D7-9938-EC3B3F5284EE}"/>
            </a:ext>
          </a:extLst>
        </xdr:cNvPr>
        <xdr:cNvSpPr/>
      </xdr:nvSpPr>
      <xdr:spPr>
        <a:xfrm>
          <a:off x="8256494" y="44787671"/>
          <a:ext cx="204155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9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40</xdr:col>
      <xdr:colOff>57807</xdr:colOff>
      <xdr:row>314</xdr:row>
      <xdr:rowOff>0</xdr:rowOff>
    </xdr:from>
    <xdr:to>
      <xdr:col>42</xdr:col>
      <xdr:colOff>5256</xdr:colOff>
      <xdr:row>315</xdr:row>
      <xdr:rowOff>4354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D45DE13C-0867-4837-A495-7CA9490A2D01}"/>
            </a:ext>
          </a:extLst>
        </xdr:cNvPr>
        <xdr:cNvSpPr/>
      </xdr:nvSpPr>
      <xdr:spPr>
        <a:xfrm>
          <a:off x="8471338" y="46082607"/>
          <a:ext cx="357352" cy="20405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10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38</xdr:col>
      <xdr:colOff>0</xdr:colOff>
      <xdr:row>309</xdr:row>
      <xdr:rowOff>0</xdr:rowOff>
    </xdr:from>
    <xdr:to>
      <xdr:col>38</xdr:col>
      <xdr:colOff>204155</xdr:colOff>
      <xdr:row>310</xdr:row>
      <xdr:rowOff>4353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2DE24A31-7532-4F5D-B9DB-63DD4BC51E1A}"/>
            </a:ext>
          </a:extLst>
        </xdr:cNvPr>
        <xdr:cNvSpPr/>
      </xdr:nvSpPr>
      <xdr:spPr>
        <a:xfrm>
          <a:off x="8050306" y="44590447"/>
          <a:ext cx="204155" cy="20157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8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42</xdr:col>
      <xdr:colOff>71717</xdr:colOff>
      <xdr:row>314</xdr:row>
      <xdr:rowOff>62753</xdr:rowOff>
    </xdr:from>
    <xdr:to>
      <xdr:col>43</xdr:col>
      <xdr:colOff>143436</xdr:colOff>
      <xdr:row>315</xdr:row>
      <xdr:rowOff>152401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C2FD6DFD-BA08-4572-A9D9-BF664B39F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46776" y="45639318"/>
          <a:ext cx="277907" cy="286871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324</xdr:row>
      <xdr:rowOff>0</xdr:rowOff>
    </xdr:from>
    <xdr:to>
      <xdr:col>28</xdr:col>
      <xdr:colOff>152400</xdr:colOff>
      <xdr:row>325</xdr:row>
      <xdr:rowOff>4352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A4637249-627F-4E84-9D77-6AC206EA7283}"/>
            </a:ext>
          </a:extLst>
        </xdr:cNvPr>
        <xdr:cNvSpPr/>
      </xdr:nvSpPr>
      <xdr:spPr>
        <a:xfrm>
          <a:off x="5683624" y="47548800"/>
          <a:ext cx="358588" cy="201576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12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0</xdr:colOff>
      <xdr:row>324</xdr:row>
      <xdr:rowOff>0</xdr:rowOff>
    </xdr:from>
    <xdr:to>
      <xdr:col>33</xdr:col>
      <xdr:colOff>152400</xdr:colOff>
      <xdr:row>325</xdr:row>
      <xdr:rowOff>4352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4425F8E9-9EBE-4573-8A43-817D705F5498}"/>
            </a:ext>
          </a:extLst>
        </xdr:cNvPr>
        <xdr:cNvSpPr/>
      </xdr:nvSpPr>
      <xdr:spPr>
        <a:xfrm>
          <a:off x="6714565" y="47548800"/>
          <a:ext cx="358588" cy="201576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13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36</xdr:col>
      <xdr:colOff>0</xdr:colOff>
      <xdr:row>324</xdr:row>
      <xdr:rowOff>0</xdr:rowOff>
    </xdr:from>
    <xdr:to>
      <xdr:col>37</xdr:col>
      <xdr:colOff>152400</xdr:colOff>
      <xdr:row>325</xdr:row>
      <xdr:rowOff>4352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54A51808-3A24-404D-8A38-3E6E58063275}"/>
            </a:ext>
          </a:extLst>
        </xdr:cNvPr>
        <xdr:cNvSpPr/>
      </xdr:nvSpPr>
      <xdr:spPr>
        <a:xfrm>
          <a:off x="7637929" y="47548800"/>
          <a:ext cx="358589" cy="201576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14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0</xdr:colOff>
      <xdr:row>324</xdr:row>
      <xdr:rowOff>0</xdr:rowOff>
    </xdr:from>
    <xdr:to>
      <xdr:col>23</xdr:col>
      <xdr:colOff>152400</xdr:colOff>
      <xdr:row>325</xdr:row>
      <xdr:rowOff>4353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185F5CEB-57E3-4BDA-89FD-25D702AB16C6}"/>
            </a:ext>
          </a:extLst>
        </xdr:cNvPr>
        <xdr:cNvSpPr/>
      </xdr:nvSpPr>
      <xdr:spPr>
        <a:xfrm>
          <a:off x="4652682" y="47548800"/>
          <a:ext cx="358589" cy="20157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  <a:latin typeface="+mj-ea"/>
              <a:ea typeface="+mj-ea"/>
            </a:rPr>
            <a:t>11</a:t>
          </a:r>
          <a:endParaRPr lang="ko-KR" altLang="en-US" sz="11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58178</xdr:colOff>
      <xdr:row>364</xdr:row>
      <xdr:rowOff>60521</xdr:rowOff>
    </xdr:from>
    <xdr:to>
      <xdr:col>2</xdr:col>
      <xdr:colOff>152024</xdr:colOff>
      <xdr:row>365</xdr:row>
      <xdr:rowOff>152651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5570B818-DDF8-4039-8F42-7252286845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3864" y="49579635"/>
          <a:ext cx="300674" cy="288073"/>
        </a:xfrm>
        <a:prstGeom prst="rect">
          <a:avLst/>
        </a:prstGeom>
      </xdr:spPr>
    </xdr:pic>
    <xdr:clientData/>
  </xdr:twoCellAnchor>
  <xdr:twoCellAnchor>
    <xdr:from>
      <xdr:col>20</xdr:col>
      <xdr:colOff>94218</xdr:colOff>
      <xdr:row>364</xdr:row>
      <xdr:rowOff>42322</xdr:rowOff>
    </xdr:from>
    <xdr:to>
      <xdr:col>26</xdr:col>
      <xdr:colOff>173045</xdr:colOff>
      <xdr:row>365</xdr:row>
      <xdr:rowOff>161338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9FC97D07-0C03-4822-9A2E-F1A4DA17A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39647" y="49561436"/>
          <a:ext cx="1319798" cy="314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203557</xdr:colOff>
      <xdr:row>365</xdr:row>
      <xdr:rowOff>4354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0CBAFA82-CCFA-45B7-B468-A734EC1B0925}"/>
            </a:ext>
          </a:extLst>
        </xdr:cNvPr>
        <xdr:cNvSpPr/>
      </xdr:nvSpPr>
      <xdr:spPr>
        <a:xfrm>
          <a:off x="315686" y="49519114"/>
          <a:ext cx="203557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1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0</xdr:colOff>
      <xdr:row>364</xdr:row>
      <xdr:rowOff>0</xdr:rowOff>
    </xdr:from>
    <xdr:to>
      <xdr:col>3</xdr:col>
      <xdr:colOff>203558</xdr:colOff>
      <xdr:row>365</xdr:row>
      <xdr:rowOff>4354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7708F213-2D89-44EF-82F4-0507284453D7}"/>
            </a:ext>
          </a:extLst>
        </xdr:cNvPr>
        <xdr:cNvSpPr/>
      </xdr:nvSpPr>
      <xdr:spPr>
        <a:xfrm>
          <a:off x="729343" y="49519114"/>
          <a:ext cx="203558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2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195986</xdr:colOff>
      <xdr:row>364</xdr:row>
      <xdr:rowOff>0</xdr:rowOff>
    </xdr:from>
    <xdr:to>
      <xdr:col>20</xdr:col>
      <xdr:colOff>193953</xdr:colOff>
      <xdr:row>365</xdr:row>
      <xdr:rowOff>4354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D85ADDB3-58BC-4B87-9466-39C69C471FBD}"/>
            </a:ext>
          </a:extLst>
        </xdr:cNvPr>
        <xdr:cNvSpPr/>
      </xdr:nvSpPr>
      <xdr:spPr>
        <a:xfrm>
          <a:off x="4234586" y="49519114"/>
          <a:ext cx="204796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3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67942</xdr:colOff>
      <xdr:row>364</xdr:row>
      <xdr:rowOff>42322</xdr:rowOff>
    </xdr:from>
    <xdr:to>
      <xdr:col>33</xdr:col>
      <xdr:colOff>146769</xdr:colOff>
      <xdr:row>365</xdr:row>
      <xdr:rowOff>161338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9671B3BB-9B4F-4D85-9AB2-ECE481D9F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1171" y="49561436"/>
          <a:ext cx="1319798" cy="314959"/>
        </a:xfrm>
        <a:prstGeom prst="rect">
          <a:avLst/>
        </a:prstGeom>
      </xdr:spPr>
    </xdr:pic>
    <xdr:clientData/>
  </xdr:twoCellAnchor>
  <xdr:twoCellAnchor>
    <xdr:from>
      <xdr:col>34</xdr:col>
      <xdr:colOff>99474</xdr:colOff>
      <xdr:row>364</xdr:row>
      <xdr:rowOff>42322</xdr:rowOff>
    </xdr:from>
    <xdr:to>
      <xdr:col>40</xdr:col>
      <xdr:colOff>78453</xdr:colOff>
      <xdr:row>365</xdr:row>
      <xdr:rowOff>161338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AD19374F-7CD4-447C-B739-4260C26F1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40503" y="49561436"/>
          <a:ext cx="1317921" cy="314959"/>
        </a:xfrm>
        <a:prstGeom prst="rect">
          <a:avLst/>
        </a:prstGeom>
      </xdr:spPr>
    </xdr:pic>
    <xdr:clientData/>
  </xdr:twoCellAnchor>
  <xdr:twoCellAnchor>
    <xdr:from>
      <xdr:col>41</xdr:col>
      <xdr:colOff>57433</xdr:colOff>
      <xdr:row>364</xdr:row>
      <xdr:rowOff>42322</xdr:rowOff>
    </xdr:from>
    <xdr:to>
      <xdr:col>42</xdr:col>
      <xdr:colOff>178298</xdr:colOff>
      <xdr:row>365</xdr:row>
      <xdr:rowOff>161338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F2157D05-D61A-4977-86B8-011D4230BA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7147" y="58759865"/>
          <a:ext cx="327694" cy="314959"/>
        </a:xfrm>
        <a:prstGeom prst="rect">
          <a:avLst/>
        </a:prstGeom>
      </xdr:spPr>
    </xdr:pic>
    <xdr:clientData/>
  </xdr:twoCellAnchor>
  <xdr:twoCellAnchor>
    <xdr:from>
      <xdr:col>43</xdr:col>
      <xdr:colOff>67944</xdr:colOff>
      <xdr:row>364</xdr:row>
      <xdr:rowOff>42322</xdr:rowOff>
    </xdr:from>
    <xdr:to>
      <xdr:col>44</xdr:col>
      <xdr:colOff>188808</xdr:colOff>
      <xdr:row>365</xdr:row>
      <xdr:rowOff>161338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B3281192-4BCA-4F2D-9FDF-CE78CA1FD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68401" y="49561436"/>
          <a:ext cx="327693" cy="314959"/>
        </a:xfrm>
        <a:prstGeom prst="rect">
          <a:avLst/>
        </a:prstGeom>
      </xdr:spPr>
    </xdr:pic>
    <xdr:clientData/>
  </xdr:twoCellAnchor>
  <xdr:twoCellAnchor>
    <xdr:from>
      <xdr:col>41</xdr:col>
      <xdr:colOff>6196</xdr:colOff>
      <xdr:row>363</xdr:row>
      <xdr:rowOff>116305</xdr:rowOff>
    </xdr:from>
    <xdr:to>
      <xdr:col>42</xdr:col>
      <xdr:colOff>2926</xdr:colOff>
      <xdr:row>365</xdr:row>
      <xdr:rowOff>4354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69C49BAC-C73D-4365-97F5-399068173003}"/>
            </a:ext>
          </a:extLst>
        </xdr:cNvPr>
        <xdr:cNvSpPr/>
      </xdr:nvSpPr>
      <xdr:spPr>
        <a:xfrm>
          <a:off x="8524554" y="49654326"/>
          <a:ext cx="201267" cy="200870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4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43</xdr:col>
      <xdr:colOff>0</xdr:colOff>
      <xdr:row>364</xdr:row>
      <xdr:rowOff>0</xdr:rowOff>
    </xdr:from>
    <xdr:to>
      <xdr:col>43</xdr:col>
      <xdr:colOff>203558</xdr:colOff>
      <xdr:row>365</xdr:row>
      <xdr:rowOff>4354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AD89C80A-904F-4540-ACC4-A21260545585}"/>
            </a:ext>
          </a:extLst>
        </xdr:cNvPr>
        <xdr:cNvSpPr/>
      </xdr:nvSpPr>
      <xdr:spPr>
        <a:xfrm>
          <a:off x="9100457" y="49519114"/>
          <a:ext cx="203558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5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0</xdr:colOff>
      <xdr:row>367</xdr:row>
      <xdr:rowOff>0</xdr:rowOff>
    </xdr:from>
    <xdr:to>
      <xdr:col>3</xdr:col>
      <xdr:colOff>203558</xdr:colOff>
      <xdr:row>368</xdr:row>
      <xdr:rowOff>4355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4C113A59-47FB-4ACC-B163-7CB364A9C531}"/>
            </a:ext>
          </a:extLst>
        </xdr:cNvPr>
        <xdr:cNvSpPr/>
      </xdr:nvSpPr>
      <xdr:spPr>
        <a:xfrm>
          <a:off x="735106" y="50426471"/>
          <a:ext cx="203558" cy="20157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6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203558</xdr:colOff>
      <xdr:row>381</xdr:row>
      <xdr:rowOff>4355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1DE24EE7-BDE2-4CE9-B499-F70E2CB9C323}"/>
            </a:ext>
          </a:extLst>
        </xdr:cNvPr>
        <xdr:cNvSpPr/>
      </xdr:nvSpPr>
      <xdr:spPr>
        <a:xfrm>
          <a:off x="1554480" y="53179980"/>
          <a:ext cx="203558" cy="202475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7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0</xdr:colOff>
      <xdr:row>382</xdr:row>
      <xdr:rowOff>0</xdr:rowOff>
    </xdr:from>
    <xdr:to>
      <xdr:col>7</xdr:col>
      <xdr:colOff>203558</xdr:colOff>
      <xdr:row>383</xdr:row>
      <xdr:rowOff>4355</xdr:rowOff>
    </xdr:to>
    <xdr:sp macro="" textlink="">
      <xdr:nvSpPr>
        <xdr:cNvPr id="363" name="직사각형 362">
          <a:extLst>
            <a:ext uri="{FF2B5EF4-FFF2-40B4-BE49-F238E27FC236}">
              <a16:creationId xmlns:a16="http://schemas.microsoft.com/office/drawing/2014/main" id="{60E40E4D-E5A4-4827-9A35-DB986C52022A}"/>
            </a:ext>
          </a:extLst>
        </xdr:cNvPr>
        <xdr:cNvSpPr/>
      </xdr:nvSpPr>
      <xdr:spPr>
        <a:xfrm>
          <a:off x="1554480" y="53576220"/>
          <a:ext cx="203558" cy="202475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8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194551</xdr:colOff>
      <xdr:row>383</xdr:row>
      <xdr:rowOff>0</xdr:rowOff>
    </xdr:from>
    <xdr:to>
      <xdr:col>30</xdr:col>
      <xdr:colOff>193829</xdr:colOff>
      <xdr:row>384</xdr:row>
      <xdr:rowOff>5063</xdr:rowOff>
    </xdr:to>
    <xdr:sp macro="" textlink="">
      <xdr:nvSpPr>
        <xdr:cNvPr id="371" name="직사각형 370">
          <a:extLst>
            <a:ext uri="{FF2B5EF4-FFF2-40B4-BE49-F238E27FC236}">
              <a16:creationId xmlns:a16="http://schemas.microsoft.com/office/drawing/2014/main" id="{46EB528F-ADAA-4BA4-817A-CB6C96D99632}"/>
            </a:ext>
          </a:extLst>
        </xdr:cNvPr>
        <xdr:cNvSpPr/>
      </xdr:nvSpPr>
      <xdr:spPr>
        <a:xfrm>
          <a:off x="6235428" y="53690196"/>
          <a:ext cx="203558" cy="20285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9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37</xdr:col>
      <xdr:colOff>194552</xdr:colOff>
      <xdr:row>383</xdr:row>
      <xdr:rowOff>0</xdr:rowOff>
    </xdr:from>
    <xdr:to>
      <xdr:col>39</xdr:col>
      <xdr:colOff>134563</xdr:colOff>
      <xdr:row>384</xdr:row>
      <xdr:rowOff>5063</xdr:rowOff>
    </xdr:to>
    <xdr:sp macro="" textlink="">
      <xdr:nvSpPr>
        <xdr:cNvPr id="372" name="직사각형 371">
          <a:extLst>
            <a:ext uri="{FF2B5EF4-FFF2-40B4-BE49-F238E27FC236}">
              <a16:creationId xmlns:a16="http://schemas.microsoft.com/office/drawing/2014/main" id="{54844F11-6004-403F-8F24-927E3EF56221}"/>
            </a:ext>
          </a:extLst>
        </xdr:cNvPr>
        <xdr:cNvSpPr/>
      </xdr:nvSpPr>
      <xdr:spPr>
        <a:xfrm>
          <a:off x="7885888" y="53690196"/>
          <a:ext cx="348573" cy="20285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50" b="1">
              <a:solidFill>
                <a:schemeClr val="bg1"/>
              </a:solidFill>
              <a:latin typeface="+mj-ea"/>
              <a:ea typeface="+mj-ea"/>
            </a:rPr>
            <a:t>10</a:t>
          </a:r>
          <a:endParaRPr lang="ko-KR" altLang="en-US" sz="105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1</xdr:col>
      <xdr:colOff>0</xdr:colOff>
      <xdr:row>257</xdr:row>
      <xdr:rowOff>0</xdr:rowOff>
    </xdr:from>
    <xdr:to>
      <xdr:col>78</xdr:col>
      <xdr:colOff>16068</xdr:colOff>
      <xdr:row>268</xdr:row>
      <xdr:rowOff>29905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526ECCDB-5083-4CB9-B3C9-FA2B7D17B226}"/>
            </a:ext>
          </a:extLst>
        </xdr:cNvPr>
        <xdr:cNvGrpSpPr/>
      </xdr:nvGrpSpPr>
      <xdr:grpSpPr>
        <a:xfrm>
          <a:off x="350921" y="51204395"/>
          <a:ext cx="17892989" cy="2235694"/>
          <a:chOff x="322729" y="35150612"/>
          <a:chExt cx="15948272" cy="2199364"/>
        </a:xfrm>
      </xdr:grpSpPr>
      <xdr:pic>
        <xdr:nvPicPr>
          <xdr:cNvPr id="374" name="그림 373">
            <a:extLst>
              <a:ext uri="{FF2B5EF4-FFF2-40B4-BE49-F238E27FC236}">
                <a16:creationId xmlns:a16="http://schemas.microsoft.com/office/drawing/2014/main" id="{710183B0-6D8D-4B5C-8461-BF6C1A7C55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email"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saturation sat="0"/>
                    </a14:imgEffect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22729" y="35150612"/>
            <a:ext cx="4751713" cy="2199364"/>
          </a:xfrm>
          <a:prstGeom prst="rect">
            <a:avLst/>
          </a:prstGeom>
        </xdr:spPr>
      </xdr:pic>
      <xdr:pic>
        <xdr:nvPicPr>
          <xdr:cNvPr id="375" name="그림 374">
            <a:extLst>
              <a:ext uri="{FF2B5EF4-FFF2-40B4-BE49-F238E27FC236}">
                <a16:creationId xmlns:a16="http://schemas.microsoft.com/office/drawing/2014/main" id="{9BD5785A-4A8E-479E-9A05-90C1E85BD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email">
            <a:extLst>
              <a:ext uri="{BEBA8EAE-BF5A-486C-A8C5-ECC9F3942E4B}">
                <a14:imgProps xmlns:a14="http://schemas.microsoft.com/office/drawing/2010/main">
                  <a14:imgLayer r:embed="rId18">
                    <a14:imgEffect>
                      <a14:saturation sat="0"/>
                    </a14:imgEffect>
                    <a14:imgEffect>
                      <a14:brightnessContrast brigh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923626" y="35153084"/>
            <a:ext cx="4749669" cy="2194419"/>
          </a:xfrm>
          <a:prstGeom prst="rect">
            <a:avLst/>
          </a:prstGeom>
        </xdr:spPr>
      </xdr:pic>
      <xdr:pic>
        <xdr:nvPicPr>
          <xdr:cNvPr id="376" name="그림 375">
            <a:extLst>
              <a:ext uri="{FF2B5EF4-FFF2-40B4-BE49-F238E27FC236}">
                <a16:creationId xmlns:a16="http://schemas.microsoft.com/office/drawing/2014/main" id="{A8B30C01-C5C7-446D-A31E-73E0DE29B1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1522479" y="35154606"/>
            <a:ext cx="4748522" cy="2191377"/>
          </a:xfrm>
          <a:prstGeom prst="rect">
            <a:avLst/>
          </a:prstGeom>
        </xdr:spPr>
      </xdr:pic>
      <xdr:pic>
        <xdr:nvPicPr>
          <xdr:cNvPr id="377" name="그림 376">
            <a:extLst>
              <a:ext uri="{FF2B5EF4-FFF2-40B4-BE49-F238E27FC236}">
                <a16:creationId xmlns:a16="http://schemas.microsoft.com/office/drawing/2014/main" id="{A757EFC8-DA73-47C7-AF71-2C1BC476C4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email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harpenSoften amount="6000"/>
                    </a14:imgEffect>
                    <a14:imgEffect>
                      <a14:saturation sat="226000"/>
                    </a14:imgEffect>
                    <a14:imgEffect>
                      <a14:brightnessContrast bright="-41000" contrast="-18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58440" y="36093642"/>
            <a:ext cx="681188" cy="313305"/>
          </a:xfrm>
          <a:prstGeom prst="rect">
            <a:avLst/>
          </a:prstGeom>
          <a:effectLst/>
        </xdr:spPr>
      </xdr:pic>
      <xdr:pic>
        <xdr:nvPicPr>
          <xdr:cNvPr id="378" name="그림 377">
            <a:extLst>
              <a:ext uri="{FF2B5EF4-FFF2-40B4-BE49-F238E27FC236}">
                <a16:creationId xmlns:a16="http://schemas.microsoft.com/office/drawing/2014/main" id="{CCA8E6A1-9E89-48FB-9F2C-D6293EF729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email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harpenSoften amount="6000"/>
                    </a14:imgEffect>
                    <a14:imgEffect>
                      <a14:saturation sat="226000"/>
                    </a14:imgEffect>
                    <a14:imgEffect>
                      <a14:brightnessContrast bright="-41000" contrast="-18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57293" y="36093642"/>
            <a:ext cx="681187" cy="313305"/>
          </a:xfrm>
          <a:prstGeom prst="rect">
            <a:avLst/>
          </a:prstGeom>
          <a:effectLst/>
        </xdr:spPr>
      </xdr:pic>
      <xdr:pic>
        <xdr:nvPicPr>
          <xdr:cNvPr id="379" name="그림 378">
            <a:extLst>
              <a:ext uri="{FF2B5EF4-FFF2-40B4-BE49-F238E27FC236}">
                <a16:creationId xmlns:a16="http://schemas.microsoft.com/office/drawing/2014/main" id="{1DFC54A5-BB24-4E4E-8981-408551C13F5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292609" y="36423864"/>
            <a:ext cx="691768" cy="643667"/>
          </a:xfrm>
          <a:prstGeom prst="rect">
            <a:avLst/>
          </a:prstGeom>
        </xdr:spPr>
      </xdr:pic>
      <xdr:sp macro="" textlink="">
        <xdr:nvSpPr>
          <xdr:cNvPr id="380" name="사각형: 둥근 모서리 379">
            <a:extLst>
              <a:ext uri="{FF2B5EF4-FFF2-40B4-BE49-F238E27FC236}">
                <a16:creationId xmlns:a16="http://schemas.microsoft.com/office/drawing/2014/main" id="{94D18669-E8D4-427E-B7B8-FF3C71BA0570}"/>
              </a:ext>
            </a:extLst>
          </xdr:cNvPr>
          <xdr:cNvSpPr/>
        </xdr:nvSpPr>
        <xdr:spPr>
          <a:xfrm>
            <a:off x="4292187" y="36417288"/>
            <a:ext cx="689902" cy="654249"/>
          </a:xfrm>
          <a:prstGeom prst="roundRect">
            <a:avLst>
              <a:gd name="adj" fmla="val 3125"/>
            </a:avLst>
          </a:prstGeom>
          <a:noFill/>
          <a:ln w="19050">
            <a:solidFill>
              <a:srgbClr val="FDF066"/>
            </a:solidFill>
          </a:ln>
          <a:effectLst>
            <a:glow rad="38100">
              <a:schemeClr val="tx1">
                <a:lumMod val="85000"/>
                <a:lumOff val="1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381" name="그림 380">
            <a:extLst>
              <a:ext uri="{FF2B5EF4-FFF2-40B4-BE49-F238E27FC236}">
                <a16:creationId xmlns:a16="http://schemas.microsoft.com/office/drawing/2014/main" id="{9D4B87F9-D938-442C-AA76-41D78BD41E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868895" y="36920805"/>
            <a:ext cx="649494" cy="257287"/>
          </a:xfrm>
          <a:prstGeom prst="parallelogram">
            <a:avLst>
              <a:gd name="adj" fmla="val 17188"/>
            </a:avLst>
          </a:prstGeom>
        </xdr:spPr>
      </xdr:pic>
      <xdr:sp macro="" textlink="">
        <xdr:nvSpPr>
          <xdr:cNvPr id="382" name="평행 사변형 381">
            <a:extLst>
              <a:ext uri="{FF2B5EF4-FFF2-40B4-BE49-F238E27FC236}">
                <a16:creationId xmlns:a16="http://schemas.microsoft.com/office/drawing/2014/main" id="{7BC7C086-A7FF-4295-8299-5BCDF16FAE99}"/>
              </a:ext>
            </a:extLst>
          </xdr:cNvPr>
          <xdr:cNvSpPr/>
        </xdr:nvSpPr>
        <xdr:spPr>
          <a:xfrm>
            <a:off x="8863474" y="36920659"/>
            <a:ext cx="653596" cy="260805"/>
          </a:xfrm>
          <a:prstGeom prst="parallelogram">
            <a:avLst>
              <a:gd name="adj" fmla="val 16151"/>
            </a:avLst>
          </a:prstGeom>
          <a:noFill/>
          <a:ln w="19050">
            <a:solidFill>
              <a:srgbClr val="FDF066"/>
            </a:solidFill>
          </a:ln>
          <a:effectLst>
            <a:glow rad="38100">
              <a:schemeClr val="tx1">
                <a:lumMod val="85000"/>
                <a:lumOff val="1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3</xdr:col>
      <xdr:colOff>206187</xdr:colOff>
      <xdr:row>364</xdr:row>
      <xdr:rowOff>32000</xdr:rowOff>
    </xdr:from>
    <xdr:to>
      <xdr:col>11</xdr:col>
      <xdr:colOff>1744</xdr:colOff>
      <xdr:row>365</xdr:row>
      <xdr:rowOff>179293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AE8475D2-D117-4B81-BA88-BC7AF8D036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1293" y="54071247"/>
          <a:ext cx="1445063" cy="3445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197223</xdr:rowOff>
    </xdr:from>
    <xdr:to>
      <xdr:col>27</xdr:col>
      <xdr:colOff>120223</xdr:colOff>
      <xdr:row>52</xdr:row>
      <xdr:rowOff>147178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7DC094E8-03A7-4681-894B-07510F791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29" y="8301317"/>
          <a:ext cx="5481118" cy="2513861"/>
        </a:xfrm>
        <a:prstGeom prst="rect">
          <a:avLst/>
        </a:prstGeom>
      </xdr:spPr>
    </xdr:pic>
    <xdr:clientData/>
  </xdr:twoCellAnchor>
  <xdr:twoCellAnchor editAs="oneCell">
    <xdr:from>
      <xdr:col>28</xdr:col>
      <xdr:colOff>35859</xdr:colOff>
      <xdr:row>39</xdr:row>
      <xdr:rowOff>197223</xdr:rowOff>
    </xdr:from>
    <xdr:to>
      <xdr:col>54</xdr:col>
      <xdr:colOff>26895</xdr:colOff>
      <xdr:row>52</xdr:row>
      <xdr:rowOff>147178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6591AF2C-7DB4-467C-B1A1-D47AFDBC6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1" y="8301317"/>
          <a:ext cx="5486400" cy="2513861"/>
        </a:xfrm>
        <a:prstGeom prst="rect">
          <a:avLst/>
        </a:prstGeom>
      </xdr:spPr>
    </xdr:pic>
    <xdr:clientData/>
  </xdr:twoCellAnchor>
  <xdr:twoCellAnchor>
    <xdr:from>
      <xdr:col>41</xdr:col>
      <xdr:colOff>0</xdr:colOff>
      <xdr:row>276</xdr:row>
      <xdr:rowOff>0</xdr:rowOff>
    </xdr:from>
    <xdr:to>
      <xdr:col>41</xdr:col>
      <xdr:colOff>203559</xdr:colOff>
      <xdr:row>277</xdr:row>
      <xdr:rowOff>4354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8C6B4EA1-240B-44B2-9BE7-AF709AD1DB8C}"/>
            </a:ext>
          </a:extLst>
        </xdr:cNvPr>
        <xdr:cNvSpPr/>
      </xdr:nvSpPr>
      <xdr:spPr>
        <a:xfrm>
          <a:off x="8599714" y="47113371"/>
          <a:ext cx="203559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4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41</xdr:col>
      <xdr:colOff>0</xdr:colOff>
      <xdr:row>306</xdr:row>
      <xdr:rowOff>0</xdr:rowOff>
    </xdr:from>
    <xdr:to>
      <xdr:col>41</xdr:col>
      <xdr:colOff>203559</xdr:colOff>
      <xdr:row>307</xdr:row>
      <xdr:rowOff>4354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671A159B-8B19-4CCC-B25C-CC5E39D5C38A}"/>
            </a:ext>
          </a:extLst>
        </xdr:cNvPr>
        <xdr:cNvSpPr/>
      </xdr:nvSpPr>
      <xdr:spPr>
        <a:xfrm>
          <a:off x="8599714" y="52915457"/>
          <a:ext cx="203559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4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0</xdr:colOff>
      <xdr:row>309</xdr:row>
      <xdr:rowOff>0</xdr:rowOff>
    </xdr:from>
    <xdr:to>
      <xdr:col>2</xdr:col>
      <xdr:colOff>204796</xdr:colOff>
      <xdr:row>310</xdr:row>
      <xdr:rowOff>4355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0F3A4525-2842-4B76-9441-6A1BD48311FB}"/>
            </a:ext>
          </a:extLst>
        </xdr:cNvPr>
        <xdr:cNvSpPr/>
      </xdr:nvSpPr>
      <xdr:spPr>
        <a:xfrm>
          <a:off x="522514" y="53503286"/>
          <a:ext cx="204796" cy="200298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6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133351</xdr:colOff>
      <xdr:row>92</xdr:row>
      <xdr:rowOff>0</xdr:rowOff>
    </xdr:from>
    <xdr:to>
      <xdr:col>31</xdr:col>
      <xdr:colOff>55476</xdr:colOff>
      <xdr:row>140</xdr:row>
      <xdr:rowOff>12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B4799BAE-7274-4DDB-A920-B7DA4C25B48A}"/>
            </a:ext>
          </a:extLst>
        </xdr:cNvPr>
        <xdr:cNvGrpSpPr/>
      </xdr:nvGrpSpPr>
      <xdr:grpSpPr>
        <a:xfrm>
          <a:off x="2098509" y="18608842"/>
          <a:ext cx="5226046" cy="9615249"/>
          <a:chOff x="1906733" y="18163309"/>
          <a:chExt cx="4701943" cy="9310267"/>
        </a:xfrm>
      </xdr:grpSpPr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DA0C9B11-8AC4-4211-BF51-E2F2B2C8777D}"/>
              </a:ext>
            </a:extLst>
          </xdr:cNvPr>
          <xdr:cNvGrpSpPr/>
        </xdr:nvGrpSpPr>
        <xdr:grpSpPr>
          <a:xfrm>
            <a:off x="1906733" y="18163309"/>
            <a:ext cx="4701943" cy="9310267"/>
            <a:chOff x="742951" y="17735550"/>
            <a:chExt cx="4741775" cy="9144012"/>
          </a:xfrm>
        </xdr:grpSpPr>
        <xdr:sp macro="" textlink="">
          <xdr:nvSpPr>
            <xdr:cNvPr id="264" name="사각형: 둥근 모서리 263">
              <a:extLst>
                <a:ext uri="{FF2B5EF4-FFF2-40B4-BE49-F238E27FC236}">
                  <a16:creationId xmlns:a16="http://schemas.microsoft.com/office/drawing/2014/main" id="{F550100F-23AE-46FF-9192-E29082EAFA9F}"/>
                </a:ext>
              </a:extLst>
            </xdr:cNvPr>
            <xdr:cNvSpPr/>
          </xdr:nvSpPr>
          <xdr:spPr>
            <a:xfrm>
              <a:off x="920885" y="17735550"/>
              <a:ext cx="1704492" cy="685815"/>
            </a:xfrm>
            <a:prstGeom prst="roundRect">
              <a:avLst>
                <a:gd name="adj" fmla="val 26191"/>
              </a:avLst>
            </a:prstGeom>
            <a:solidFill>
              <a:schemeClr val="accent5">
                <a:lumMod val="20000"/>
                <a:lumOff val="80000"/>
              </a:schemeClr>
            </a:solidFill>
            <a:ln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시작</a:t>
              </a:r>
              <a:endParaRPr lang="en-US" altLang="ko-KR" sz="1000">
                <a:solidFill>
                  <a:schemeClr val="tx1"/>
                </a:solidFill>
              </a:endParaRPr>
            </a:p>
            <a:p>
              <a:pPr algn="ctr"/>
              <a:r>
                <a:rPr lang="en-US" altLang="ko-KR" sz="1000">
                  <a:solidFill>
                    <a:schemeClr val="tx1"/>
                  </a:solidFill>
                </a:rPr>
                <a:t>(ID </a:t>
              </a:r>
              <a:r>
                <a:rPr lang="ko-KR" altLang="en-US" sz="1000">
                  <a:solidFill>
                    <a:schemeClr val="tx1"/>
                  </a:solidFill>
                </a:rPr>
                <a:t>카드 커스텀 </a:t>
              </a:r>
              <a:r>
                <a:rPr lang="en-US" altLang="ko-KR" sz="1000">
                  <a:solidFill>
                    <a:schemeClr val="tx1"/>
                  </a:solidFill>
                </a:rPr>
                <a:t>UI)</a:t>
              </a:r>
            </a:p>
          </xdr:txBody>
        </xdr:sp>
        <xdr:sp macro="" textlink="">
          <xdr:nvSpPr>
            <xdr:cNvPr id="265" name="사각형: 둥근 모서리 264">
              <a:extLst>
                <a:ext uri="{FF2B5EF4-FFF2-40B4-BE49-F238E27FC236}">
                  <a16:creationId xmlns:a16="http://schemas.microsoft.com/office/drawing/2014/main" id="{017DF281-90E2-4707-8AF0-AA723CE6CABC}"/>
                </a:ext>
              </a:extLst>
            </xdr:cNvPr>
            <xdr:cNvSpPr/>
          </xdr:nvSpPr>
          <xdr:spPr>
            <a:xfrm>
              <a:off x="920885" y="18790268"/>
              <a:ext cx="1704492" cy="669572"/>
            </a:xfrm>
            <a:prstGeom prst="roundRect">
              <a:avLst>
                <a:gd name="adj" fmla="val 0"/>
              </a:avLst>
            </a:prstGeom>
            <a:solidFill>
              <a:schemeClr val="accent6">
                <a:lumMod val="20000"/>
                <a:lumOff val="80000"/>
              </a:schemeClr>
            </a:solidFill>
            <a:ln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en-US" altLang="ko-KR" sz="1000">
                  <a:solidFill>
                    <a:schemeClr val="tx1"/>
                  </a:solidFill>
                </a:rPr>
                <a:t>ID </a:t>
              </a:r>
              <a:r>
                <a:rPr lang="ko-KR" altLang="en-US" sz="1000">
                  <a:solidFill>
                    <a:schemeClr val="tx1"/>
                  </a:solidFill>
                </a:rPr>
                <a:t>카드 제작</a:t>
              </a:r>
              <a:endParaRPr lang="en-US" altLang="ko-KR" sz="10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67" name="다이아몬드 266">
              <a:extLst>
                <a:ext uri="{FF2B5EF4-FFF2-40B4-BE49-F238E27FC236}">
                  <a16:creationId xmlns:a16="http://schemas.microsoft.com/office/drawing/2014/main" id="{FF5523F6-6CEA-485F-B602-BD08BDD180D2}"/>
                </a:ext>
              </a:extLst>
            </xdr:cNvPr>
            <xdr:cNvSpPr/>
          </xdr:nvSpPr>
          <xdr:spPr>
            <a:xfrm>
              <a:off x="742951" y="19834187"/>
              <a:ext cx="2063081" cy="1047815"/>
            </a:xfrm>
            <a:prstGeom prst="diamond">
              <a:avLst/>
            </a:prstGeom>
            <a:solidFill>
              <a:schemeClr val="accent2">
                <a:lumMod val="20000"/>
                <a:lumOff val="80000"/>
              </a:schemeClr>
            </a:solidFill>
            <a:ln w="12700"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제출 버튼을</a:t>
              </a:r>
              <a:endParaRPr lang="en-US" altLang="ko-KR" sz="1000">
                <a:solidFill>
                  <a:schemeClr val="tx1"/>
                </a:solidFill>
              </a:endParaRPr>
            </a:p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터치할 것인가</a:t>
              </a:r>
              <a:r>
                <a:rPr lang="en-US" altLang="ko-KR" sz="1000">
                  <a:solidFill>
                    <a:schemeClr val="tx1"/>
                  </a:solidFill>
                </a:rPr>
                <a:t>?</a:t>
              </a:r>
            </a:p>
          </xdr:txBody>
        </xdr:sp>
        <xdr:cxnSp macro="">
          <xdr:nvCxnSpPr>
            <xdr:cNvPr id="268" name="연결선: 꺾임 267">
              <a:extLst>
                <a:ext uri="{FF2B5EF4-FFF2-40B4-BE49-F238E27FC236}">
                  <a16:creationId xmlns:a16="http://schemas.microsoft.com/office/drawing/2014/main" id="{F6E0C509-8775-40B6-B40D-EF368896AEF5}"/>
                </a:ext>
              </a:extLst>
            </xdr:cNvPr>
            <xdr:cNvCxnSpPr>
              <a:stCxn id="267" idx="3"/>
              <a:endCxn id="264" idx="3"/>
            </xdr:cNvCxnSpPr>
          </xdr:nvCxnSpPr>
          <xdr:spPr>
            <a:xfrm flipH="1" flipV="1">
              <a:off x="2625377" y="18081179"/>
              <a:ext cx="180655" cy="2276916"/>
            </a:xfrm>
            <a:prstGeom prst="bentConnector3">
              <a:avLst>
                <a:gd name="adj1" fmla="val -367071"/>
              </a:avLst>
            </a:prstGeom>
            <a:ln w="19050">
              <a:solidFill>
                <a:srgbClr val="FD5B2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9" name="다이아몬드 268">
              <a:extLst>
                <a:ext uri="{FF2B5EF4-FFF2-40B4-BE49-F238E27FC236}">
                  <a16:creationId xmlns:a16="http://schemas.microsoft.com/office/drawing/2014/main" id="{78F1D74B-6EE6-43CA-A298-448A73EE51CA}"/>
                </a:ext>
              </a:extLst>
            </xdr:cNvPr>
            <xdr:cNvSpPr/>
          </xdr:nvSpPr>
          <xdr:spPr>
            <a:xfrm>
              <a:off x="742951" y="21250906"/>
              <a:ext cx="2063081" cy="1048317"/>
            </a:xfrm>
            <a:prstGeom prst="diamond">
              <a:avLst/>
            </a:prstGeom>
            <a:solidFill>
              <a:schemeClr val="accent2">
                <a:lumMod val="20000"/>
                <a:lumOff val="80000"/>
              </a:schemeClr>
            </a:solidFill>
            <a:ln w="12700"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제출</a:t>
              </a:r>
              <a:r>
                <a:rPr lang="ko-KR" altLang="en-US" sz="1000" baseline="0">
                  <a:solidFill>
                    <a:schemeClr val="tx1"/>
                  </a:solidFill>
                </a:rPr>
                <a:t> 조건에</a:t>
              </a:r>
              <a:endParaRPr lang="en-US" altLang="ko-KR" sz="1000" baseline="0">
                <a:solidFill>
                  <a:schemeClr val="tx1"/>
                </a:solidFill>
              </a:endParaRPr>
            </a:p>
            <a:p>
              <a:pPr algn="ctr"/>
              <a:r>
                <a:rPr lang="ko-KR" altLang="en-US" sz="1000" baseline="0">
                  <a:solidFill>
                    <a:schemeClr val="tx1"/>
                  </a:solidFill>
                </a:rPr>
                <a:t>충족하는가</a:t>
              </a:r>
              <a:r>
                <a:rPr lang="en-US" altLang="ko-KR" sz="1000" baseline="0">
                  <a:solidFill>
                    <a:schemeClr val="tx1"/>
                  </a:solidFill>
                </a:rPr>
                <a:t>?</a:t>
              </a:r>
              <a:endParaRPr lang="en-US" altLang="ko-KR" sz="10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70" name="사각형: 둥근 모서리 269">
              <a:extLst>
                <a:ext uri="{FF2B5EF4-FFF2-40B4-BE49-F238E27FC236}">
                  <a16:creationId xmlns:a16="http://schemas.microsoft.com/office/drawing/2014/main" id="{12803987-9D2F-439D-B913-93015D874EFC}"/>
                </a:ext>
              </a:extLst>
            </xdr:cNvPr>
            <xdr:cNvSpPr/>
          </xdr:nvSpPr>
          <xdr:spPr>
            <a:xfrm>
              <a:off x="3463227" y="21435725"/>
              <a:ext cx="1840843" cy="681674"/>
            </a:xfrm>
            <a:prstGeom prst="roundRect">
              <a:avLst>
                <a:gd name="adj" fmla="val 0"/>
              </a:avLst>
            </a:prstGeom>
            <a:solidFill>
              <a:schemeClr val="accent6">
                <a:lumMod val="20000"/>
                <a:lumOff val="80000"/>
              </a:schemeClr>
            </a:solidFill>
            <a:ln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en-US" altLang="ko-KR" sz="1000">
                  <a:solidFill>
                    <a:schemeClr val="tx1"/>
                  </a:solidFill>
                </a:rPr>
                <a:t>[</a:t>
              </a:r>
              <a:r>
                <a:rPr lang="ko-KR" altLang="en-US" sz="1000">
                  <a:solidFill>
                    <a:schemeClr val="tx1"/>
                  </a:solidFill>
                </a:rPr>
                <a:t>토스트 메시지 출력</a:t>
              </a:r>
              <a:r>
                <a:rPr lang="en-US" altLang="ko-KR" sz="1000">
                  <a:solidFill>
                    <a:schemeClr val="tx1"/>
                  </a:solidFill>
                </a:rPr>
                <a:t>]</a:t>
              </a:r>
            </a:p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제출 조건을</a:t>
              </a:r>
              <a:endParaRPr lang="en-US" altLang="ko-KR" sz="1000">
                <a:solidFill>
                  <a:schemeClr val="tx1"/>
                </a:solidFill>
              </a:endParaRPr>
            </a:p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충족하지 못했습니다</a:t>
              </a:r>
              <a:r>
                <a:rPr lang="en-US" altLang="ko-KR" sz="1000">
                  <a:solidFill>
                    <a:schemeClr val="tx1"/>
                  </a:solidFill>
                </a:rPr>
                <a:t>.</a:t>
              </a:r>
            </a:p>
          </xdr:txBody>
        </xdr:sp>
        <xdr:sp macro="" textlink="">
          <xdr:nvSpPr>
            <xdr:cNvPr id="271" name="사각형: 둥근 모서리 270">
              <a:extLst>
                <a:ext uri="{FF2B5EF4-FFF2-40B4-BE49-F238E27FC236}">
                  <a16:creationId xmlns:a16="http://schemas.microsoft.com/office/drawing/2014/main" id="{B246D74C-B2DF-44EE-A923-4B11FCD4C498}"/>
                </a:ext>
              </a:extLst>
            </xdr:cNvPr>
            <xdr:cNvSpPr/>
          </xdr:nvSpPr>
          <xdr:spPr>
            <a:xfrm>
              <a:off x="920885" y="22668127"/>
              <a:ext cx="1704492" cy="680370"/>
            </a:xfrm>
            <a:prstGeom prst="roundRect">
              <a:avLst>
                <a:gd name="adj" fmla="val 0"/>
              </a:avLst>
            </a:prstGeom>
            <a:solidFill>
              <a:schemeClr val="accent6">
                <a:lumMod val="20000"/>
                <a:lumOff val="80000"/>
              </a:schemeClr>
            </a:solidFill>
            <a:ln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en-US" altLang="ko-KR" sz="1000">
                  <a:solidFill>
                    <a:schemeClr val="tx1"/>
                  </a:solidFill>
                </a:rPr>
                <a:t>[</a:t>
              </a:r>
              <a:r>
                <a:rPr lang="ko-KR" altLang="en-US" sz="1000">
                  <a:solidFill>
                    <a:schemeClr val="tx1"/>
                  </a:solidFill>
                </a:rPr>
                <a:t>팝업 창 출력</a:t>
              </a:r>
              <a:r>
                <a:rPr lang="en-US" altLang="ko-KR" sz="1000">
                  <a:solidFill>
                    <a:schemeClr val="tx1"/>
                  </a:solidFill>
                </a:rPr>
                <a:t>]</a:t>
              </a:r>
            </a:p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선택한 </a:t>
              </a:r>
              <a:r>
                <a:rPr lang="en-US" altLang="ko-KR" sz="1000">
                  <a:solidFill>
                    <a:schemeClr val="tx1"/>
                  </a:solidFill>
                </a:rPr>
                <a:t>ID </a:t>
              </a:r>
              <a:r>
                <a:rPr lang="ko-KR" altLang="en-US" sz="1000">
                  <a:solidFill>
                    <a:schemeClr val="tx1"/>
                  </a:solidFill>
                </a:rPr>
                <a:t>카드를</a:t>
              </a:r>
              <a:endParaRPr lang="en-US" altLang="ko-KR" sz="1000">
                <a:solidFill>
                  <a:schemeClr val="tx1"/>
                </a:solidFill>
              </a:endParaRPr>
            </a:p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제출하시겠습니까</a:t>
              </a:r>
              <a:r>
                <a:rPr lang="en-US" altLang="ko-KR" sz="1000">
                  <a:solidFill>
                    <a:schemeClr val="tx1"/>
                  </a:solidFill>
                </a:rPr>
                <a:t>?</a:t>
              </a:r>
            </a:p>
          </xdr:txBody>
        </xdr:sp>
        <xdr:sp macro="" textlink="">
          <xdr:nvSpPr>
            <xdr:cNvPr id="272" name="다이아몬드 271">
              <a:extLst>
                <a:ext uri="{FF2B5EF4-FFF2-40B4-BE49-F238E27FC236}">
                  <a16:creationId xmlns:a16="http://schemas.microsoft.com/office/drawing/2014/main" id="{3E0AB161-E9A8-48C1-ADB1-2FF1406B7D18}"/>
                </a:ext>
              </a:extLst>
            </xdr:cNvPr>
            <xdr:cNvSpPr/>
          </xdr:nvSpPr>
          <xdr:spPr>
            <a:xfrm>
              <a:off x="742951" y="23717401"/>
              <a:ext cx="2063081" cy="1048317"/>
            </a:xfrm>
            <a:prstGeom prst="diamond">
              <a:avLst/>
            </a:prstGeom>
            <a:solidFill>
              <a:schemeClr val="accent2">
                <a:lumMod val="20000"/>
                <a:lumOff val="80000"/>
              </a:schemeClr>
            </a:solidFill>
            <a:ln w="12700"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확인 버튼</a:t>
              </a:r>
              <a:endParaRPr lang="en-US" altLang="ko-KR" sz="10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73" name="사각형: 둥근 모서리 272">
              <a:extLst>
                <a:ext uri="{FF2B5EF4-FFF2-40B4-BE49-F238E27FC236}">
                  <a16:creationId xmlns:a16="http://schemas.microsoft.com/office/drawing/2014/main" id="{5E1E063D-B039-4B5C-A03E-F0F792AEE19A}"/>
                </a:ext>
              </a:extLst>
            </xdr:cNvPr>
            <xdr:cNvSpPr/>
          </xdr:nvSpPr>
          <xdr:spPr>
            <a:xfrm>
              <a:off x="921837" y="26183898"/>
              <a:ext cx="1702592" cy="695664"/>
            </a:xfrm>
            <a:prstGeom prst="roundRect">
              <a:avLst>
                <a:gd name="adj" fmla="val 26191"/>
              </a:avLst>
            </a:prstGeom>
            <a:solidFill>
              <a:schemeClr val="accent5">
                <a:lumMod val="20000"/>
                <a:lumOff val="80000"/>
              </a:schemeClr>
            </a:solidFill>
            <a:ln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종료</a:t>
              </a:r>
              <a:endParaRPr lang="en-US" altLang="ko-KR" sz="1000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274" name="직선 화살표 연결선 273">
              <a:extLst>
                <a:ext uri="{FF2B5EF4-FFF2-40B4-BE49-F238E27FC236}">
                  <a16:creationId xmlns:a16="http://schemas.microsoft.com/office/drawing/2014/main" id="{6D541A7C-5678-4DF6-A216-7F117B48E7EB}"/>
                </a:ext>
              </a:extLst>
            </xdr:cNvPr>
            <xdr:cNvCxnSpPr>
              <a:stCxn id="264" idx="2"/>
              <a:endCxn id="265" idx="0"/>
            </xdr:cNvCxnSpPr>
          </xdr:nvCxnSpPr>
          <xdr:spPr>
            <a:xfrm>
              <a:off x="1773131" y="18421365"/>
              <a:ext cx="0" cy="368903"/>
            </a:xfrm>
            <a:prstGeom prst="straightConnector1">
              <a:avLst/>
            </a:prstGeom>
            <a:ln w="19050">
              <a:solidFill>
                <a:srgbClr val="34383C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5" name="직선 화살표 연결선 274">
              <a:extLst>
                <a:ext uri="{FF2B5EF4-FFF2-40B4-BE49-F238E27FC236}">
                  <a16:creationId xmlns:a16="http://schemas.microsoft.com/office/drawing/2014/main" id="{DF841412-A411-4B93-9FDA-2792AFB0BFE9}"/>
                </a:ext>
              </a:extLst>
            </xdr:cNvPr>
            <xdr:cNvCxnSpPr>
              <a:stCxn id="265" idx="2"/>
              <a:endCxn id="267" idx="0"/>
            </xdr:cNvCxnSpPr>
          </xdr:nvCxnSpPr>
          <xdr:spPr>
            <a:xfrm>
              <a:off x="1773131" y="19459840"/>
              <a:ext cx="0" cy="374347"/>
            </a:xfrm>
            <a:prstGeom prst="straightConnector1">
              <a:avLst/>
            </a:prstGeom>
            <a:ln w="19050">
              <a:solidFill>
                <a:srgbClr val="34383C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7" name="직선 화살표 연결선 276">
              <a:extLst>
                <a:ext uri="{FF2B5EF4-FFF2-40B4-BE49-F238E27FC236}">
                  <a16:creationId xmlns:a16="http://schemas.microsoft.com/office/drawing/2014/main" id="{80FE9884-FC3B-42AD-B26B-8A5E6B5B5E5D}"/>
                </a:ext>
              </a:extLst>
            </xdr:cNvPr>
            <xdr:cNvCxnSpPr>
              <a:stCxn id="267" idx="2"/>
              <a:endCxn id="269" idx="0"/>
            </xdr:cNvCxnSpPr>
          </xdr:nvCxnSpPr>
          <xdr:spPr>
            <a:xfrm>
              <a:off x="1773131" y="20882002"/>
              <a:ext cx="0" cy="368904"/>
            </a:xfrm>
            <a:prstGeom prst="straightConnector1">
              <a:avLst/>
            </a:prstGeom>
            <a:ln w="19050">
              <a:solidFill>
                <a:srgbClr val="107FDA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8" name="직선 화살표 연결선 277">
              <a:extLst>
                <a:ext uri="{FF2B5EF4-FFF2-40B4-BE49-F238E27FC236}">
                  <a16:creationId xmlns:a16="http://schemas.microsoft.com/office/drawing/2014/main" id="{DDF1802D-6009-4763-A443-0568DBEBBAD8}"/>
                </a:ext>
              </a:extLst>
            </xdr:cNvPr>
            <xdr:cNvCxnSpPr>
              <a:stCxn id="269" idx="2"/>
              <a:endCxn id="271" idx="0"/>
            </xdr:cNvCxnSpPr>
          </xdr:nvCxnSpPr>
          <xdr:spPr>
            <a:xfrm>
              <a:off x="1773131" y="22299223"/>
              <a:ext cx="0" cy="368904"/>
            </a:xfrm>
            <a:prstGeom prst="straightConnector1">
              <a:avLst/>
            </a:prstGeom>
            <a:ln w="19050">
              <a:solidFill>
                <a:srgbClr val="107FDA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9" name="직선 화살표 연결선 278">
              <a:extLst>
                <a:ext uri="{FF2B5EF4-FFF2-40B4-BE49-F238E27FC236}">
                  <a16:creationId xmlns:a16="http://schemas.microsoft.com/office/drawing/2014/main" id="{C4A10B81-2773-47D3-A52B-C7B6B062A8D6}"/>
                </a:ext>
              </a:extLst>
            </xdr:cNvPr>
            <xdr:cNvCxnSpPr>
              <a:stCxn id="271" idx="2"/>
              <a:endCxn id="272" idx="0"/>
            </xdr:cNvCxnSpPr>
          </xdr:nvCxnSpPr>
          <xdr:spPr>
            <a:xfrm>
              <a:off x="1773131" y="23348497"/>
              <a:ext cx="0" cy="368904"/>
            </a:xfrm>
            <a:prstGeom prst="straightConnector1">
              <a:avLst/>
            </a:prstGeom>
            <a:ln w="19050">
              <a:solidFill>
                <a:srgbClr val="107FDA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0" name="직선 화살표 연결선 279">
              <a:extLst>
                <a:ext uri="{FF2B5EF4-FFF2-40B4-BE49-F238E27FC236}">
                  <a16:creationId xmlns:a16="http://schemas.microsoft.com/office/drawing/2014/main" id="{C6C7D52C-53D7-4E7A-A1CF-EFB1534BBBE0}"/>
                </a:ext>
              </a:extLst>
            </xdr:cNvPr>
            <xdr:cNvCxnSpPr>
              <a:stCxn id="272" idx="2"/>
              <a:endCxn id="289" idx="0"/>
            </xdr:cNvCxnSpPr>
          </xdr:nvCxnSpPr>
          <xdr:spPr>
            <a:xfrm>
              <a:off x="1773131" y="24765718"/>
              <a:ext cx="2" cy="368904"/>
            </a:xfrm>
            <a:prstGeom prst="straightConnector1">
              <a:avLst/>
            </a:prstGeom>
            <a:ln w="19050">
              <a:solidFill>
                <a:srgbClr val="107FDA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3" name="다이아몬드 282">
              <a:extLst>
                <a:ext uri="{FF2B5EF4-FFF2-40B4-BE49-F238E27FC236}">
                  <a16:creationId xmlns:a16="http://schemas.microsoft.com/office/drawing/2014/main" id="{27172C5F-B907-4927-92DA-B73143C93B9C}"/>
                </a:ext>
              </a:extLst>
            </xdr:cNvPr>
            <xdr:cNvSpPr/>
          </xdr:nvSpPr>
          <xdr:spPr>
            <a:xfrm>
              <a:off x="3285293" y="23715097"/>
              <a:ext cx="2199433" cy="1048317"/>
            </a:xfrm>
            <a:prstGeom prst="diamond">
              <a:avLst/>
            </a:prstGeom>
            <a:solidFill>
              <a:schemeClr val="accent2">
                <a:lumMod val="20000"/>
                <a:lumOff val="80000"/>
              </a:schemeClr>
            </a:solidFill>
            <a:ln w="12700"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ko-KR" altLang="en-US" sz="1000">
                  <a:solidFill>
                    <a:schemeClr val="tx1"/>
                  </a:solidFill>
                </a:rPr>
                <a:t>취소 버튼</a:t>
              </a:r>
              <a:endParaRPr lang="en-US" altLang="ko-KR" sz="1000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288" name="연결선: 꺾임 287">
              <a:extLst>
                <a:ext uri="{FF2B5EF4-FFF2-40B4-BE49-F238E27FC236}">
                  <a16:creationId xmlns:a16="http://schemas.microsoft.com/office/drawing/2014/main" id="{604C84AB-3BDC-4623-91AB-7819EB87981F}"/>
                </a:ext>
              </a:extLst>
            </xdr:cNvPr>
            <xdr:cNvCxnSpPr>
              <a:stCxn id="283" idx="2"/>
              <a:endCxn id="273" idx="3"/>
            </xdr:cNvCxnSpPr>
          </xdr:nvCxnSpPr>
          <xdr:spPr>
            <a:xfrm rot="5400000">
              <a:off x="2621922" y="24765921"/>
              <a:ext cx="1765595" cy="1760580"/>
            </a:xfrm>
            <a:prstGeom prst="bentConnector2">
              <a:avLst/>
            </a:prstGeom>
            <a:ln w="19050">
              <a:solidFill>
                <a:srgbClr val="107FDA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9" name="사각형: 둥근 모서리 288">
              <a:extLst>
                <a:ext uri="{FF2B5EF4-FFF2-40B4-BE49-F238E27FC236}">
                  <a16:creationId xmlns:a16="http://schemas.microsoft.com/office/drawing/2014/main" id="{7CA1D9ED-3151-4838-82BD-7CACE0EC1FC2}"/>
                </a:ext>
              </a:extLst>
            </xdr:cNvPr>
            <xdr:cNvSpPr/>
          </xdr:nvSpPr>
          <xdr:spPr>
            <a:xfrm>
              <a:off x="920887" y="25134622"/>
              <a:ext cx="1704492" cy="680370"/>
            </a:xfrm>
            <a:prstGeom prst="roundRect">
              <a:avLst>
                <a:gd name="adj" fmla="val 0"/>
              </a:avLst>
            </a:prstGeom>
            <a:solidFill>
              <a:schemeClr val="accent6">
                <a:lumMod val="20000"/>
                <a:lumOff val="80000"/>
              </a:schemeClr>
            </a:solidFill>
            <a:ln>
              <a:solidFill>
                <a:srgbClr val="34383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lIns="0" tIns="0" rIns="0" bIns="0" rtlCol="0" anchor="ctr">
              <a:noAutofit/>
            </a:bodyPr>
            <a:lstStyle/>
            <a:p>
              <a:pPr algn="ctr"/>
              <a:r>
                <a:rPr lang="en-US" altLang="ko-KR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ID </a:t>
              </a:r>
              <a:r>
                <a:rPr lang="ko-KR" altLang="ko-KR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카드 제출 완료 및</a:t>
              </a:r>
              <a:endParaRPr lang="ko-KR" altLang="ko-KR" sz="1000">
                <a:solidFill>
                  <a:sysClr val="windowText" lastClr="000000"/>
                </a:solidFill>
                <a:effectLst/>
              </a:endParaRPr>
            </a:p>
            <a:p>
              <a:pPr algn="ctr"/>
              <a:r>
                <a:rPr lang="ko-KR" altLang="ko-KR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타 유저가 투표 진행</a:t>
              </a:r>
              <a:r>
                <a:rPr lang="en-US" altLang="ko-KR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ko-KR" altLang="en-US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가능</a:t>
              </a:r>
              <a:endParaRPr lang="en-US" altLang="ko-KR" sz="10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296" name="연결선: 꺾임 295">
              <a:extLst>
                <a:ext uri="{FF2B5EF4-FFF2-40B4-BE49-F238E27FC236}">
                  <a16:creationId xmlns:a16="http://schemas.microsoft.com/office/drawing/2014/main" id="{1A92B3C6-8EC5-44B0-91D7-E5388A991118}"/>
                </a:ext>
              </a:extLst>
            </xdr:cNvPr>
            <xdr:cNvCxnSpPr>
              <a:stCxn id="270" idx="0"/>
              <a:endCxn id="264" idx="3"/>
            </xdr:cNvCxnSpPr>
          </xdr:nvCxnSpPr>
          <xdr:spPr>
            <a:xfrm rot="16200000" flipV="1">
              <a:off x="1827921" y="18878636"/>
              <a:ext cx="3354546" cy="1759632"/>
            </a:xfrm>
            <a:prstGeom prst="bentConnector2">
              <a:avLst/>
            </a:prstGeom>
            <a:ln w="19050">
              <a:solidFill>
                <a:srgbClr val="FD5B2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8" name="직선 화살표 연결선 297">
              <a:extLst>
                <a:ext uri="{FF2B5EF4-FFF2-40B4-BE49-F238E27FC236}">
                  <a16:creationId xmlns:a16="http://schemas.microsoft.com/office/drawing/2014/main" id="{0D10BD53-3819-4771-A36A-A810279E6EB3}"/>
                </a:ext>
              </a:extLst>
            </xdr:cNvPr>
            <xdr:cNvCxnSpPr>
              <a:stCxn id="269" idx="3"/>
              <a:endCxn id="270" idx="1"/>
            </xdr:cNvCxnSpPr>
          </xdr:nvCxnSpPr>
          <xdr:spPr>
            <a:xfrm>
              <a:off x="2806032" y="21772343"/>
              <a:ext cx="657195" cy="1498"/>
            </a:xfrm>
            <a:prstGeom prst="straightConnector1">
              <a:avLst/>
            </a:prstGeom>
            <a:ln w="19050">
              <a:solidFill>
                <a:srgbClr val="FD5B2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9" name="직선 화살표 연결선 298">
              <a:extLst>
                <a:ext uri="{FF2B5EF4-FFF2-40B4-BE49-F238E27FC236}">
                  <a16:creationId xmlns:a16="http://schemas.microsoft.com/office/drawing/2014/main" id="{6E08898B-A331-42A9-9F94-B29783CA19E6}"/>
                </a:ext>
              </a:extLst>
            </xdr:cNvPr>
            <xdr:cNvCxnSpPr>
              <a:stCxn id="272" idx="3"/>
              <a:endCxn id="283" idx="1"/>
            </xdr:cNvCxnSpPr>
          </xdr:nvCxnSpPr>
          <xdr:spPr>
            <a:xfrm flipV="1">
              <a:off x="2806032" y="24236534"/>
              <a:ext cx="479261" cy="2304"/>
            </a:xfrm>
            <a:prstGeom prst="straightConnector1">
              <a:avLst/>
            </a:prstGeom>
            <a:ln w="19050">
              <a:solidFill>
                <a:srgbClr val="FD5B2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0" name="직선 화살표 연결선 299">
              <a:extLst>
                <a:ext uri="{FF2B5EF4-FFF2-40B4-BE49-F238E27FC236}">
                  <a16:creationId xmlns:a16="http://schemas.microsoft.com/office/drawing/2014/main" id="{35A3C923-6922-44C7-8299-4602D915BBE4}"/>
                </a:ext>
              </a:extLst>
            </xdr:cNvPr>
            <xdr:cNvCxnSpPr>
              <a:stCxn id="289" idx="2"/>
              <a:endCxn id="273" idx="0"/>
            </xdr:cNvCxnSpPr>
          </xdr:nvCxnSpPr>
          <xdr:spPr>
            <a:xfrm>
              <a:off x="1773133" y="25814992"/>
              <a:ext cx="0" cy="368906"/>
            </a:xfrm>
            <a:prstGeom prst="straightConnector1">
              <a:avLst/>
            </a:prstGeom>
            <a:ln w="19050">
              <a:solidFill>
                <a:srgbClr val="34383C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FC2E21D5-5AF8-4854-9913-7E7DAEA69312}"/>
              </a:ext>
            </a:extLst>
          </xdr:cNvPr>
          <xdr:cNvSpPr txBox="1"/>
        </xdr:nvSpPr>
        <xdr:spPr>
          <a:xfrm>
            <a:off x="4047507" y="20577958"/>
            <a:ext cx="409189" cy="2372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5CF2EA7F-F5BF-4A49-A1EB-CC4A4BD0B7DF}"/>
              </a:ext>
            </a:extLst>
          </xdr:cNvPr>
          <xdr:cNvSpPr txBox="1"/>
        </xdr:nvSpPr>
        <xdr:spPr>
          <a:xfrm>
            <a:off x="4047507" y="21990132"/>
            <a:ext cx="409189" cy="2372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6F5366CC-934E-44F3-9447-E08735E3FEFD}"/>
              </a:ext>
            </a:extLst>
          </xdr:cNvPr>
          <xdr:cNvSpPr txBox="1"/>
        </xdr:nvSpPr>
        <xdr:spPr>
          <a:xfrm>
            <a:off x="5546767" y="21665541"/>
            <a:ext cx="409190" cy="2372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923CBA77-6818-4FDF-A142-14276334315E}"/>
              </a:ext>
            </a:extLst>
          </xdr:cNvPr>
          <xdr:cNvSpPr txBox="1"/>
        </xdr:nvSpPr>
        <xdr:spPr>
          <a:xfrm>
            <a:off x="2932215" y="21386470"/>
            <a:ext cx="569051" cy="2359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49E46921-796C-46B8-A0B2-DD55BD38D178}"/>
              </a:ext>
            </a:extLst>
          </xdr:cNvPr>
          <xdr:cNvSpPr txBox="1"/>
        </xdr:nvSpPr>
        <xdr:spPr>
          <a:xfrm>
            <a:off x="2932215" y="22840207"/>
            <a:ext cx="569051" cy="2359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1D1AE9BC-6616-4054-99A4-1B8B871E26B4}"/>
              </a:ext>
            </a:extLst>
          </xdr:cNvPr>
          <xdr:cNvSpPr txBox="1"/>
        </xdr:nvSpPr>
        <xdr:spPr>
          <a:xfrm>
            <a:off x="2932215" y="23940653"/>
            <a:ext cx="569051" cy="2359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E1D05C12-2A03-4E12-BA2D-419E088262FA}"/>
              </a:ext>
            </a:extLst>
          </xdr:cNvPr>
          <xdr:cNvSpPr txBox="1"/>
        </xdr:nvSpPr>
        <xdr:spPr>
          <a:xfrm>
            <a:off x="4047507" y="24468117"/>
            <a:ext cx="409189" cy="2372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ABC31B-A62B-40FE-889B-625EB213F3FE}"/>
              </a:ext>
            </a:extLst>
          </xdr:cNvPr>
          <xdr:cNvSpPr txBox="1"/>
        </xdr:nvSpPr>
        <xdr:spPr>
          <a:xfrm>
            <a:off x="2932215" y="25350849"/>
            <a:ext cx="569051" cy="235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ECE6BA1A-5BDE-4218-B7D3-886C4727A536}"/>
              </a:ext>
            </a:extLst>
          </xdr:cNvPr>
          <xdr:cNvSpPr txBox="1"/>
        </xdr:nvSpPr>
        <xdr:spPr>
          <a:xfrm>
            <a:off x="5524994" y="25350849"/>
            <a:ext cx="568061" cy="235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3</xdr:col>
      <xdr:colOff>0</xdr:colOff>
      <xdr:row>162</xdr:row>
      <xdr:rowOff>0</xdr:rowOff>
    </xdr:from>
    <xdr:to>
      <xdr:col>15</xdr:col>
      <xdr:colOff>91522</xdr:colOff>
      <xdr:row>226</xdr:row>
      <xdr:rowOff>163299</xdr:rowOff>
    </xdr:to>
    <xdr:grpSp>
      <xdr:nvGrpSpPr>
        <xdr:cNvPr id="390" name="그룹 389">
          <a:extLst>
            <a:ext uri="{FF2B5EF4-FFF2-40B4-BE49-F238E27FC236}">
              <a16:creationId xmlns:a16="http://schemas.microsoft.com/office/drawing/2014/main" id="{E294ACD1-2BFA-4AD0-913F-BBB71EAA124A}"/>
            </a:ext>
          </a:extLst>
        </xdr:cNvPr>
        <xdr:cNvGrpSpPr/>
      </xdr:nvGrpSpPr>
      <xdr:grpSpPr>
        <a:xfrm>
          <a:off x="812132" y="32455184"/>
          <a:ext cx="2858785" cy="12996983"/>
          <a:chOff x="418010" y="32164020"/>
          <a:chExt cx="2560402" cy="12842979"/>
        </a:xfrm>
      </xdr:grpSpPr>
      <xdr:sp macro="" textlink="">
        <xdr:nvSpPr>
          <xdr:cNvPr id="391" name="사각형: 둥근 모서리 390">
            <a:extLst>
              <a:ext uri="{FF2B5EF4-FFF2-40B4-BE49-F238E27FC236}">
                <a16:creationId xmlns:a16="http://schemas.microsoft.com/office/drawing/2014/main" id="{C3815FAC-4073-4D17-9AF7-1C4F0F675287}"/>
              </a:ext>
            </a:extLst>
          </xdr:cNvPr>
          <xdr:cNvSpPr/>
        </xdr:nvSpPr>
        <xdr:spPr>
          <a:xfrm>
            <a:off x="907105" y="32164020"/>
            <a:ext cx="1673284" cy="711942"/>
          </a:xfrm>
          <a:prstGeom prst="roundRect">
            <a:avLst>
              <a:gd name="adj" fmla="val 26191"/>
            </a:avLst>
          </a:prstGeom>
          <a:solidFill>
            <a:schemeClr val="accent5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시작</a:t>
            </a:r>
            <a:endParaRPr lang="en-US" altLang="ko-KR" sz="1000">
              <a:solidFill>
                <a:schemeClr val="tx1"/>
              </a:solidFill>
            </a:endParaRPr>
          </a:p>
          <a:p>
            <a:pPr algn="ctr"/>
            <a:r>
              <a:rPr lang="en-US" altLang="ko-KR" sz="1000">
                <a:solidFill>
                  <a:schemeClr val="tx1"/>
                </a:solidFill>
              </a:rPr>
              <a:t>(</a:t>
            </a:r>
            <a:r>
              <a:rPr lang="ko-KR" altLang="en-US" sz="1000">
                <a:solidFill>
                  <a:schemeClr val="tx1"/>
                </a:solidFill>
              </a:rPr>
              <a:t>투표 진행 </a:t>
            </a:r>
            <a:r>
              <a:rPr lang="en-US" altLang="ko-KR" sz="1000">
                <a:solidFill>
                  <a:schemeClr val="tx1"/>
                </a:solidFill>
              </a:rPr>
              <a:t>UI)</a:t>
            </a:r>
          </a:p>
        </xdr:txBody>
      </xdr:sp>
      <xdr:sp macro="" textlink="">
        <xdr:nvSpPr>
          <xdr:cNvPr id="392" name="다이아몬드 391">
            <a:extLst>
              <a:ext uri="{FF2B5EF4-FFF2-40B4-BE49-F238E27FC236}">
                <a16:creationId xmlns:a16="http://schemas.microsoft.com/office/drawing/2014/main" id="{DCF22941-C059-48CD-B11F-1446AA97DCFC}"/>
              </a:ext>
            </a:extLst>
          </xdr:cNvPr>
          <xdr:cNvSpPr/>
        </xdr:nvSpPr>
        <xdr:spPr>
          <a:xfrm>
            <a:off x="731520" y="33388857"/>
            <a:ext cx="2026051" cy="1086660"/>
          </a:xfrm>
          <a:prstGeom prst="diamond">
            <a:avLst/>
          </a:prstGeom>
          <a:solidFill>
            <a:schemeClr val="accent2">
              <a:lumMod val="20000"/>
              <a:lumOff val="80000"/>
            </a:schemeClr>
          </a:solidFill>
          <a:ln w="12700"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일일 투표 횟수가 남아있는가</a:t>
            </a:r>
            <a:r>
              <a:rPr lang="en-US" altLang="ko-KR" sz="1000">
                <a:solidFill>
                  <a:schemeClr val="tx1"/>
                </a:solidFill>
              </a:rPr>
              <a:t>?</a:t>
            </a:r>
          </a:p>
        </xdr:txBody>
      </xdr:sp>
      <xdr:sp macro="" textlink="">
        <xdr:nvSpPr>
          <xdr:cNvPr id="393" name="다이아몬드 392">
            <a:extLst>
              <a:ext uri="{FF2B5EF4-FFF2-40B4-BE49-F238E27FC236}">
                <a16:creationId xmlns:a16="http://schemas.microsoft.com/office/drawing/2014/main" id="{58FE9E1E-CEC5-46BC-AB0E-B63853B8C118}"/>
              </a:ext>
            </a:extLst>
          </xdr:cNvPr>
          <xdr:cNvSpPr/>
        </xdr:nvSpPr>
        <xdr:spPr>
          <a:xfrm>
            <a:off x="731520" y="37424904"/>
            <a:ext cx="2026051" cy="1091333"/>
          </a:xfrm>
          <a:prstGeom prst="diamond">
            <a:avLst/>
          </a:prstGeom>
          <a:solidFill>
            <a:schemeClr val="accent2">
              <a:lumMod val="20000"/>
              <a:lumOff val="80000"/>
            </a:schemeClr>
          </a:solidFill>
          <a:ln w="12700"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투표</a:t>
            </a:r>
            <a:r>
              <a:rPr lang="ko-KR" altLang="en-US" sz="1000" baseline="0">
                <a:solidFill>
                  <a:schemeClr val="tx1"/>
                </a:solidFill>
              </a:rPr>
              <a:t> </a:t>
            </a:r>
            <a:r>
              <a:rPr lang="en-US" altLang="ko-KR" sz="1000" baseline="0">
                <a:solidFill>
                  <a:schemeClr val="tx1"/>
                </a:solidFill>
              </a:rPr>
              <a:t>10</a:t>
            </a:r>
            <a:r>
              <a:rPr lang="ko-KR" altLang="en-US" sz="1000" baseline="0">
                <a:solidFill>
                  <a:schemeClr val="tx1"/>
                </a:solidFill>
              </a:rPr>
              <a:t>회를</a:t>
            </a:r>
            <a:endParaRPr lang="en-US" altLang="ko-KR" sz="1000" baseline="0">
              <a:solidFill>
                <a:schemeClr val="tx1"/>
              </a:solidFill>
            </a:endParaRPr>
          </a:p>
          <a:p>
            <a:pPr algn="ctr"/>
            <a:r>
              <a:rPr lang="ko-KR" altLang="en-US" sz="1000" baseline="0">
                <a:solidFill>
                  <a:schemeClr val="tx1"/>
                </a:solidFill>
              </a:rPr>
              <a:t>달성했는가</a:t>
            </a:r>
            <a:r>
              <a:rPr lang="en-US" altLang="ko-KR" sz="1000" baseline="0">
                <a:solidFill>
                  <a:schemeClr val="tx1"/>
                </a:solidFill>
              </a:rPr>
              <a:t>?</a:t>
            </a:r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394" name="사각형: 둥근 모서리 393">
            <a:extLst>
              <a:ext uri="{FF2B5EF4-FFF2-40B4-BE49-F238E27FC236}">
                <a16:creationId xmlns:a16="http://schemas.microsoft.com/office/drawing/2014/main" id="{41A3E142-78EA-4321-B7C5-F3FCDC65B874}"/>
              </a:ext>
            </a:extLst>
          </xdr:cNvPr>
          <xdr:cNvSpPr/>
        </xdr:nvSpPr>
        <xdr:spPr>
          <a:xfrm>
            <a:off x="907105" y="39024975"/>
            <a:ext cx="1673284" cy="710497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보상 획득 버튼 활성화</a:t>
            </a:r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395" name="다이아몬드 394">
            <a:extLst>
              <a:ext uri="{FF2B5EF4-FFF2-40B4-BE49-F238E27FC236}">
                <a16:creationId xmlns:a16="http://schemas.microsoft.com/office/drawing/2014/main" id="{3B5B5B70-CB6F-4D69-BB78-A04111B7D033}"/>
              </a:ext>
            </a:extLst>
          </xdr:cNvPr>
          <xdr:cNvSpPr/>
        </xdr:nvSpPr>
        <xdr:spPr>
          <a:xfrm>
            <a:off x="731520" y="42684859"/>
            <a:ext cx="2026051" cy="1087176"/>
          </a:xfrm>
          <a:prstGeom prst="diamond">
            <a:avLst/>
          </a:prstGeom>
          <a:solidFill>
            <a:schemeClr val="accent2">
              <a:lumMod val="20000"/>
              <a:lumOff val="80000"/>
            </a:schemeClr>
          </a:solidFill>
          <a:ln w="12700"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투표 달성 보상을</a:t>
            </a:r>
            <a:endParaRPr lang="en-US" altLang="ko-KR" sz="1000">
              <a:solidFill>
                <a:schemeClr val="tx1"/>
              </a:solidFill>
            </a:endParaRPr>
          </a:p>
          <a:p>
            <a:pPr algn="ctr"/>
            <a:r>
              <a:rPr lang="ko-KR" altLang="en-US" sz="1000">
                <a:solidFill>
                  <a:schemeClr val="tx1"/>
                </a:solidFill>
              </a:rPr>
              <a:t>전부 획득했는가</a:t>
            </a:r>
            <a:r>
              <a:rPr lang="en-US" altLang="ko-KR" sz="1000">
                <a:solidFill>
                  <a:schemeClr val="tx1"/>
                </a:solidFill>
              </a:rPr>
              <a:t>?</a:t>
            </a:r>
          </a:p>
        </xdr:txBody>
      </xdr:sp>
      <xdr:sp macro="" textlink="">
        <xdr:nvSpPr>
          <xdr:cNvPr id="396" name="사각형: 둥근 모서리 395">
            <a:extLst>
              <a:ext uri="{FF2B5EF4-FFF2-40B4-BE49-F238E27FC236}">
                <a16:creationId xmlns:a16="http://schemas.microsoft.com/office/drawing/2014/main" id="{0E30D195-2B11-457E-B3B5-DA1BFABE629E}"/>
              </a:ext>
            </a:extLst>
          </xdr:cNvPr>
          <xdr:cNvSpPr/>
        </xdr:nvSpPr>
        <xdr:spPr>
          <a:xfrm>
            <a:off x="908045" y="44284928"/>
            <a:ext cx="1671409" cy="722071"/>
          </a:xfrm>
          <a:prstGeom prst="roundRect">
            <a:avLst>
              <a:gd name="adj" fmla="val 26191"/>
            </a:avLst>
          </a:prstGeom>
          <a:solidFill>
            <a:schemeClr val="accent5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종료</a:t>
            </a:r>
            <a:endParaRPr lang="en-US" altLang="ko-KR" sz="1000">
              <a:solidFill>
                <a:schemeClr val="tx1"/>
              </a:solidFill>
            </a:endParaRPr>
          </a:p>
        </xdr:txBody>
      </xdr:sp>
      <xdr:cxnSp macro="">
        <xdr:nvCxnSpPr>
          <xdr:cNvPr id="397" name="직선 화살표 연결선 396">
            <a:extLst>
              <a:ext uri="{FF2B5EF4-FFF2-40B4-BE49-F238E27FC236}">
                <a16:creationId xmlns:a16="http://schemas.microsoft.com/office/drawing/2014/main" id="{82D20AB7-A56C-4B77-8EFE-C5D0FD6932D0}"/>
              </a:ext>
            </a:extLst>
          </xdr:cNvPr>
          <xdr:cNvCxnSpPr>
            <a:cxnSpLocks/>
            <a:stCxn id="391" idx="2"/>
            <a:endCxn id="392" idx="0"/>
          </xdr:cNvCxnSpPr>
        </xdr:nvCxnSpPr>
        <xdr:spPr>
          <a:xfrm>
            <a:off x="1743747" y="32875962"/>
            <a:ext cx="1838" cy="512895"/>
          </a:xfrm>
          <a:prstGeom prst="straightConnector1">
            <a:avLst/>
          </a:prstGeom>
          <a:ln w="19050">
            <a:solidFill>
              <a:srgbClr val="34383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8" name="직선 화살표 연결선 397">
            <a:extLst>
              <a:ext uri="{FF2B5EF4-FFF2-40B4-BE49-F238E27FC236}">
                <a16:creationId xmlns:a16="http://schemas.microsoft.com/office/drawing/2014/main" id="{CBC66B8A-FEDD-4313-B14E-FDD946C47728}"/>
              </a:ext>
            </a:extLst>
          </xdr:cNvPr>
          <xdr:cNvCxnSpPr>
            <a:stCxn id="393" idx="2"/>
            <a:endCxn id="394" idx="0"/>
          </xdr:cNvCxnSpPr>
        </xdr:nvCxnSpPr>
        <xdr:spPr>
          <a:xfrm flipH="1">
            <a:off x="1743747" y="38516237"/>
            <a:ext cx="1343" cy="508738"/>
          </a:xfrm>
          <a:prstGeom prst="straightConnector1">
            <a:avLst/>
          </a:prstGeom>
          <a:ln w="19050">
            <a:solidFill>
              <a:srgbClr val="107FDA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9" name="사각형: 둥근 모서리 398">
            <a:extLst>
              <a:ext uri="{FF2B5EF4-FFF2-40B4-BE49-F238E27FC236}">
                <a16:creationId xmlns:a16="http://schemas.microsoft.com/office/drawing/2014/main" id="{E30DC93B-FACE-4715-B2EC-4A87B56AF7E3}"/>
              </a:ext>
            </a:extLst>
          </xdr:cNvPr>
          <xdr:cNvSpPr/>
        </xdr:nvSpPr>
        <xdr:spPr>
          <a:xfrm>
            <a:off x="907107" y="34988412"/>
            <a:ext cx="1673284" cy="704361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투표하기 버튼</a:t>
            </a:r>
            <a:r>
              <a:rPr lang="ko-KR" altLang="en-US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활성화</a:t>
            </a:r>
            <a:endPara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00" name="사각형: 둥근 모서리 399">
            <a:extLst>
              <a:ext uri="{FF2B5EF4-FFF2-40B4-BE49-F238E27FC236}">
                <a16:creationId xmlns:a16="http://schemas.microsoft.com/office/drawing/2014/main" id="{B2379C28-708C-4D10-BBA4-1DD7644B124B}"/>
              </a:ext>
            </a:extLst>
          </xdr:cNvPr>
          <xdr:cNvSpPr/>
        </xdr:nvSpPr>
        <xdr:spPr>
          <a:xfrm>
            <a:off x="907107" y="36205668"/>
            <a:ext cx="1673284" cy="706341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투표하기 버튼 터치</a:t>
            </a:r>
            <a:endPara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01" name="사각형: 둥근 모서리 400">
            <a:extLst>
              <a:ext uri="{FF2B5EF4-FFF2-40B4-BE49-F238E27FC236}">
                <a16:creationId xmlns:a16="http://schemas.microsoft.com/office/drawing/2014/main" id="{F9576E93-1695-48D8-AEF6-24AB549E72A1}"/>
              </a:ext>
            </a:extLst>
          </xdr:cNvPr>
          <xdr:cNvSpPr/>
        </xdr:nvSpPr>
        <xdr:spPr>
          <a:xfrm>
            <a:off x="907105" y="40244210"/>
            <a:ext cx="1673284" cy="708518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보상 획득 버튼 터치</a:t>
            </a:r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402" name="사각형: 둥근 모서리 401">
            <a:extLst>
              <a:ext uri="{FF2B5EF4-FFF2-40B4-BE49-F238E27FC236}">
                <a16:creationId xmlns:a16="http://schemas.microsoft.com/office/drawing/2014/main" id="{F763E062-2AA0-49FD-A354-C878D75C625C}"/>
              </a:ext>
            </a:extLst>
          </xdr:cNvPr>
          <xdr:cNvSpPr/>
        </xdr:nvSpPr>
        <xdr:spPr>
          <a:xfrm>
            <a:off x="907105" y="41461467"/>
            <a:ext cx="1673284" cy="710497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>
            <a:solidFill>
              <a:srgbClr val="34383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lIns="0" tIns="0" rIns="0" bIns="0" rtlCol="0" anchor="ctr">
            <a:noAutofit/>
          </a:bodyPr>
          <a:lstStyle/>
          <a:p>
            <a:pPr algn="ctr"/>
            <a:r>
              <a:rPr lang="ko-KR" altLang="en-US" sz="1000">
                <a:solidFill>
                  <a:schemeClr val="tx1"/>
                </a:solidFill>
              </a:rPr>
              <a:t>우편으로 보상 전달</a:t>
            </a:r>
            <a:endParaRPr lang="en-US" altLang="ko-KR" sz="1000">
              <a:solidFill>
                <a:schemeClr val="tx1"/>
              </a:solidFill>
            </a:endParaRPr>
          </a:p>
        </xdr:txBody>
      </xdr:sp>
      <xdr:cxnSp macro="">
        <xdr:nvCxnSpPr>
          <xdr:cNvPr id="403" name="직선 화살표 연결선 402">
            <a:extLst>
              <a:ext uri="{FF2B5EF4-FFF2-40B4-BE49-F238E27FC236}">
                <a16:creationId xmlns:a16="http://schemas.microsoft.com/office/drawing/2014/main" id="{6A0B9AAA-B2DF-4216-8949-BB9CDA10345F}"/>
              </a:ext>
            </a:extLst>
          </xdr:cNvPr>
          <xdr:cNvCxnSpPr>
            <a:stCxn id="392" idx="2"/>
            <a:endCxn id="399" idx="0"/>
          </xdr:cNvCxnSpPr>
        </xdr:nvCxnSpPr>
        <xdr:spPr>
          <a:xfrm flipH="1">
            <a:off x="1743749" y="34475517"/>
            <a:ext cx="1341" cy="512895"/>
          </a:xfrm>
          <a:prstGeom prst="straightConnector1">
            <a:avLst/>
          </a:prstGeom>
          <a:ln w="19050">
            <a:solidFill>
              <a:srgbClr val="107FDA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4" name="직선 화살표 연결선 403">
            <a:extLst>
              <a:ext uri="{FF2B5EF4-FFF2-40B4-BE49-F238E27FC236}">
                <a16:creationId xmlns:a16="http://schemas.microsoft.com/office/drawing/2014/main" id="{76342D92-DE7F-4BC7-8964-FADEC7059E22}"/>
              </a:ext>
            </a:extLst>
          </xdr:cNvPr>
          <xdr:cNvCxnSpPr>
            <a:cxnSpLocks/>
            <a:stCxn id="399" idx="2"/>
            <a:endCxn id="400" idx="0"/>
          </xdr:cNvCxnSpPr>
        </xdr:nvCxnSpPr>
        <xdr:spPr>
          <a:xfrm>
            <a:off x="1743749" y="35692773"/>
            <a:ext cx="0" cy="512895"/>
          </a:xfrm>
          <a:prstGeom prst="straightConnector1">
            <a:avLst/>
          </a:prstGeom>
          <a:ln w="19050">
            <a:solidFill>
              <a:srgbClr val="34383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5" name="직선 화살표 연결선 404">
            <a:extLst>
              <a:ext uri="{FF2B5EF4-FFF2-40B4-BE49-F238E27FC236}">
                <a16:creationId xmlns:a16="http://schemas.microsoft.com/office/drawing/2014/main" id="{0B4E9443-76D9-40BF-BB23-A35BC7E6FEA3}"/>
              </a:ext>
            </a:extLst>
          </xdr:cNvPr>
          <xdr:cNvCxnSpPr>
            <a:cxnSpLocks/>
            <a:stCxn id="400" idx="2"/>
            <a:endCxn id="393" idx="0"/>
          </xdr:cNvCxnSpPr>
        </xdr:nvCxnSpPr>
        <xdr:spPr>
          <a:xfrm>
            <a:off x="1743749" y="36912009"/>
            <a:ext cx="1341" cy="512895"/>
          </a:xfrm>
          <a:prstGeom prst="straightConnector1">
            <a:avLst/>
          </a:prstGeom>
          <a:ln w="19050">
            <a:solidFill>
              <a:srgbClr val="34383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6" name="직선 화살표 연결선 405">
            <a:extLst>
              <a:ext uri="{FF2B5EF4-FFF2-40B4-BE49-F238E27FC236}">
                <a16:creationId xmlns:a16="http://schemas.microsoft.com/office/drawing/2014/main" id="{1B85C7E4-229C-4FA8-94C4-8CB56AAFD4AF}"/>
              </a:ext>
            </a:extLst>
          </xdr:cNvPr>
          <xdr:cNvCxnSpPr>
            <a:cxnSpLocks/>
            <a:stCxn id="394" idx="2"/>
            <a:endCxn id="401" idx="0"/>
          </xdr:cNvCxnSpPr>
        </xdr:nvCxnSpPr>
        <xdr:spPr>
          <a:xfrm>
            <a:off x="1743747" y="39735472"/>
            <a:ext cx="0" cy="508738"/>
          </a:xfrm>
          <a:prstGeom prst="straightConnector1">
            <a:avLst/>
          </a:prstGeom>
          <a:ln w="19050">
            <a:solidFill>
              <a:srgbClr val="34383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7" name="직선 화살표 연결선 406">
            <a:extLst>
              <a:ext uri="{FF2B5EF4-FFF2-40B4-BE49-F238E27FC236}">
                <a16:creationId xmlns:a16="http://schemas.microsoft.com/office/drawing/2014/main" id="{83000FEE-FF71-4A45-AA6D-7E2A31E9F5AA}"/>
              </a:ext>
            </a:extLst>
          </xdr:cNvPr>
          <xdr:cNvCxnSpPr>
            <a:cxnSpLocks/>
            <a:stCxn id="401" idx="2"/>
            <a:endCxn id="402" idx="0"/>
          </xdr:cNvCxnSpPr>
        </xdr:nvCxnSpPr>
        <xdr:spPr>
          <a:xfrm>
            <a:off x="1743747" y="40952728"/>
            <a:ext cx="0" cy="508739"/>
          </a:xfrm>
          <a:prstGeom prst="straightConnector1">
            <a:avLst/>
          </a:prstGeom>
          <a:ln w="19050">
            <a:solidFill>
              <a:srgbClr val="34383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8" name="직선 화살표 연결선 407">
            <a:extLst>
              <a:ext uri="{FF2B5EF4-FFF2-40B4-BE49-F238E27FC236}">
                <a16:creationId xmlns:a16="http://schemas.microsoft.com/office/drawing/2014/main" id="{69B0191C-E8A2-403E-9354-CA512BDF5602}"/>
              </a:ext>
            </a:extLst>
          </xdr:cNvPr>
          <xdr:cNvCxnSpPr>
            <a:cxnSpLocks/>
            <a:stCxn id="402" idx="2"/>
            <a:endCxn id="395" idx="0"/>
          </xdr:cNvCxnSpPr>
        </xdr:nvCxnSpPr>
        <xdr:spPr>
          <a:xfrm>
            <a:off x="1743747" y="42171964"/>
            <a:ext cx="1343" cy="512895"/>
          </a:xfrm>
          <a:prstGeom prst="straightConnector1">
            <a:avLst/>
          </a:prstGeom>
          <a:ln w="19050">
            <a:solidFill>
              <a:srgbClr val="34383C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9" name="직선 화살표 연결선 408">
            <a:extLst>
              <a:ext uri="{FF2B5EF4-FFF2-40B4-BE49-F238E27FC236}">
                <a16:creationId xmlns:a16="http://schemas.microsoft.com/office/drawing/2014/main" id="{11275FD8-7C01-4919-8442-B47344DD1FDD}"/>
              </a:ext>
            </a:extLst>
          </xdr:cNvPr>
          <xdr:cNvCxnSpPr>
            <a:stCxn id="395" idx="2"/>
            <a:endCxn id="396" idx="0"/>
          </xdr:cNvCxnSpPr>
        </xdr:nvCxnSpPr>
        <xdr:spPr>
          <a:xfrm flipH="1">
            <a:off x="1743750" y="43772035"/>
            <a:ext cx="1340" cy="512893"/>
          </a:xfrm>
          <a:prstGeom prst="straightConnector1">
            <a:avLst/>
          </a:prstGeom>
          <a:ln w="19050">
            <a:solidFill>
              <a:srgbClr val="107FDA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0" name="연결선: 꺾임 409">
            <a:extLst>
              <a:ext uri="{FF2B5EF4-FFF2-40B4-BE49-F238E27FC236}">
                <a16:creationId xmlns:a16="http://schemas.microsoft.com/office/drawing/2014/main" id="{15AA2C45-EF2D-4650-9E7C-AD8511902860}"/>
              </a:ext>
            </a:extLst>
          </xdr:cNvPr>
          <xdr:cNvCxnSpPr>
            <a:stCxn id="392" idx="1"/>
            <a:endCxn id="396" idx="1"/>
          </xdr:cNvCxnSpPr>
        </xdr:nvCxnSpPr>
        <xdr:spPr>
          <a:xfrm rot="10800000" flipH="1" flipV="1">
            <a:off x="732160" y="33931097"/>
            <a:ext cx="175884" cy="10715954"/>
          </a:xfrm>
          <a:prstGeom prst="bentConnector3">
            <a:avLst>
              <a:gd name="adj1" fmla="val -129500"/>
            </a:avLst>
          </a:prstGeom>
          <a:ln w="19050">
            <a:solidFill>
              <a:srgbClr val="FD5B2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1" name="연결선: 꺾임 410">
            <a:extLst>
              <a:ext uri="{FF2B5EF4-FFF2-40B4-BE49-F238E27FC236}">
                <a16:creationId xmlns:a16="http://schemas.microsoft.com/office/drawing/2014/main" id="{D3E959D4-92F5-46EB-B4F3-9A5AB6A0934A}"/>
              </a:ext>
            </a:extLst>
          </xdr:cNvPr>
          <xdr:cNvCxnSpPr>
            <a:stCxn id="393" idx="3"/>
            <a:endCxn id="399" idx="3"/>
          </xdr:cNvCxnSpPr>
        </xdr:nvCxnSpPr>
        <xdr:spPr>
          <a:xfrm flipH="1" flipV="1">
            <a:off x="2580391" y="35341682"/>
            <a:ext cx="177180" cy="2628888"/>
          </a:xfrm>
          <a:prstGeom prst="bentConnector3">
            <a:avLst>
              <a:gd name="adj1" fmla="val -128233"/>
            </a:avLst>
          </a:prstGeom>
          <a:ln w="19050">
            <a:solidFill>
              <a:srgbClr val="FD5B2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2" name="연결선: 꺾임 411">
            <a:extLst>
              <a:ext uri="{FF2B5EF4-FFF2-40B4-BE49-F238E27FC236}">
                <a16:creationId xmlns:a16="http://schemas.microsoft.com/office/drawing/2014/main" id="{66FE6A0D-4BA6-4B04-BADF-CBAFFFFD4165}"/>
              </a:ext>
            </a:extLst>
          </xdr:cNvPr>
          <xdr:cNvCxnSpPr>
            <a:stCxn id="395" idx="3"/>
            <a:endCxn id="399" idx="3"/>
          </xdr:cNvCxnSpPr>
        </xdr:nvCxnSpPr>
        <xdr:spPr>
          <a:xfrm flipH="1" flipV="1">
            <a:off x="2580391" y="35341682"/>
            <a:ext cx="177180" cy="7885676"/>
          </a:xfrm>
          <a:prstGeom prst="bentConnector3">
            <a:avLst>
              <a:gd name="adj1" fmla="val -305317"/>
            </a:avLst>
          </a:prstGeom>
          <a:ln w="19050">
            <a:solidFill>
              <a:srgbClr val="FD5B2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3" name="TextBox 412">
            <a:extLst>
              <a:ext uri="{FF2B5EF4-FFF2-40B4-BE49-F238E27FC236}">
                <a16:creationId xmlns:a16="http://schemas.microsoft.com/office/drawing/2014/main" id="{C3ABFDC6-AA73-4FD0-BAA4-610D89053C79}"/>
              </a:ext>
            </a:extLst>
          </xdr:cNvPr>
          <xdr:cNvSpPr txBox="1"/>
        </xdr:nvSpPr>
        <xdr:spPr>
          <a:xfrm>
            <a:off x="1748443" y="34569168"/>
            <a:ext cx="562817" cy="24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720FA0EC-F9CD-484F-B3F0-5CF2CC5FB539}"/>
              </a:ext>
            </a:extLst>
          </xdr:cNvPr>
          <xdr:cNvSpPr txBox="1"/>
        </xdr:nvSpPr>
        <xdr:spPr>
          <a:xfrm>
            <a:off x="1748443" y="38618654"/>
            <a:ext cx="562817" cy="24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5C75B199-C0CD-43DC-96C3-784C1ACEDB2B}"/>
              </a:ext>
            </a:extLst>
          </xdr:cNvPr>
          <xdr:cNvSpPr txBox="1"/>
        </xdr:nvSpPr>
        <xdr:spPr>
          <a:xfrm>
            <a:off x="1748443" y="43880808"/>
            <a:ext cx="562817" cy="24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107FDA"/>
                </a:solidFill>
                <a:latin typeface="+mj-ea"/>
                <a:ea typeface="+mj-ea"/>
              </a:rPr>
              <a:t>YES</a:t>
            </a:r>
            <a:endParaRPr lang="ko-KR" altLang="en-US" sz="1000" b="1">
              <a:solidFill>
                <a:srgbClr val="107FDA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416" name="TextBox 415">
            <a:extLst>
              <a:ext uri="{FF2B5EF4-FFF2-40B4-BE49-F238E27FC236}">
                <a16:creationId xmlns:a16="http://schemas.microsoft.com/office/drawing/2014/main" id="{538E9277-F08E-4B67-A53F-E1C3426E3603}"/>
              </a:ext>
            </a:extLst>
          </xdr:cNvPr>
          <xdr:cNvSpPr txBox="1"/>
        </xdr:nvSpPr>
        <xdr:spPr>
          <a:xfrm>
            <a:off x="418010" y="33659717"/>
            <a:ext cx="405031" cy="2418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417" name="TextBox 416">
            <a:extLst>
              <a:ext uri="{FF2B5EF4-FFF2-40B4-BE49-F238E27FC236}">
                <a16:creationId xmlns:a16="http://schemas.microsoft.com/office/drawing/2014/main" id="{41C733B6-361D-48C5-A7A3-4F76C6D106C3}"/>
              </a:ext>
            </a:extLst>
          </xdr:cNvPr>
          <xdr:cNvSpPr txBox="1"/>
        </xdr:nvSpPr>
        <xdr:spPr>
          <a:xfrm>
            <a:off x="2573382" y="37654776"/>
            <a:ext cx="405030" cy="2418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418" name="TextBox 417">
            <a:extLst>
              <a:ext uri="{FF2B5EF4-FFF2-40B4-BE49-F238E27FC236}">
                <a16:creationId xmlns:a16="http://schemas.microsoft.com/office/drawing/2014/main" id="{029DE50E-0A93-4B9C-9F68-E7714D00D7FD}"/>
              </a:ext>
            </a:extLst>
          </xdr:cNvPr>
          <xdr:cNvSpPr txBox="1"/>
        </xdr:nvSpPr>
        <xdr:spPr>
          <a:xfrm>
            <a:off x="2573382" y="42916930"/>
            <a:ext cx="405030" cy="2418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000" b="1">
                <a:solidFill>
                  <a:srgbClr val="FD5B2F"/>
                </a:solidFill>
                <a:latin typeface="+mj-ea"/>
                <a:ea typeface="+mj-ea"/>
              </a:rPr>
              <a:t>NO</a:t>
            </a:r>
            <a:endParaRPr lang="ko-KR" altLang="en-US" sz="1000" b="1">
              <a:solidFill>
                <a:srgbClr val="FD5B2F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</xdr:col>
      <xdr:colOff>63808</xdr:colOff>
      <xdr:row>334</xdr:row>
      <xdr:rowOff>66153</xdr:rowOff>
    </xdr:from>
    <xdr:to>
      <xdr:col>2</xdr:col>
      <xdr:colOff>157654</xdr:colOff>
      <xdr:row>335</xdr:row>
      <xdr:rowOff>158283</xdr:rowOff>
    </xdr:to>
    <xdr:pic>
      <xdr:nvPicPr>
        <xdr:cNvPr id="446" name="그림 445">
          <a:extLst>
            <a:ext uri="{FF2B5EF4-FFF2-40B4-BE49-F238E27FC236}">
              <a16:creationId xmlns:a16="http://schemas.microsoft.com/office/drawing/2014/main" id="{1DB90332-5387-4F41-8E0E-01A9718DF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9494" y="59643667"/>
          <a:ext cx="300674" cy="288073"/>
        </a:xfrm>
        <a:prstGeom prst="rect">
          <a:avLst/>
        </a:prstGeom>
      </xdr:spPr>
    </xdr:pic>
    <xdr:clientData/>
  </xdr:twoCellAnchor>
  <xdr:twoCellAnchor>
    <xdr:from>
      <xdr:col>4</xdr:col>
      <xdr:colOff>17930</xdr:colOff>
      <xdr:row>334</xdr:row>
      <xdr:rowOff>26894</xdr:rowOff>
    </xdr:from>
    <xdr:to>
      <xdr:col>10</xdr:col>
      <xdr:colOff>56784</xdr:colOff>
      <xdr:row>335</xdr:row>
      <xdr:rowOff>143436</xdr:rowOff>
    </xdr:to>
    <xdr:pic>
      <xdr:nvPicPr>
        <xdr:cNvPr id="456" name="그림 455">
          <a:extLst>
            <a:ext uri="{FF2B5EF4-FFF2-40B4-BE49-F238E27FC236}">
              <a16:creationId xmlns:a16="http://schemas.microsoft.com/office/drawing/2014/main" id="{6F3616BA-B8B5-43FF-BA6A-3C8C7AA78E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4101" y="59604408"/>
          <a:ext cx="1279826" cy="312485"/>
        </a:xfrm>
        <a:prstGeom prst="rect">
          <a:avLst/>
        </a:prstGeom>
      </xdr:spPr>
    </xdr:pic>
    <xdr:clientData/>
  </xdr:twoCellAnchor>
  <xdr:twoCellAnchor>
    <xdr:from>
      <xdr:col>10</xdr:col>
      <xdr:colOff>35858</xdr:colOff>
      <xdr:row>334</xdr:row>
      <xdr:rowOff>8967</xdr:rowOff>
    </xdr:from>
    <xdr:to>
      <xdr:col>12</xdr:col>
      <xdr:colOff>11908</xdr:colOff>
      <xdr:row>335</xdr:row>
      <xdr:rowOff>176215</xdr:rowOff>
    </xdr:to>
    <xdr:pic>
      <xdr:nvPicPr>
        <xdr:cNvPr id="457" name="그림 456">
          <a:extLst>
            <a:ext uri="{FF2B5EF4-FFF2-40B4-BE49-F238E27FC236}">
              <a16:creationId xmlns:a16="http://schemas.microsoft.com/office/drawing/2014/main" id="{FB1A1436-AC65-436B-B1B4-F84F27679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77"/>
        <a:stretch/>
      </xdr:blipFill>
      <xdr:spPr>
        <a:xfrm>
          <a:off x="2213001" y="59586481"/>
          <a:ext cx="389707" cy="363191"/>
        </a:xfrm>
        <a:prstGeom prst="rect">
          <a:avLst/>
        </a:prstGeom>
      </xdr:spPr>
    </xdr:pic>
    <xdr:clientData/>
  </xdr:twoCellAnchor>
  <xdr:twoCellAnchor>
    <xdr:from>
      <xdr:col>20</xdr:col>
      <xdr:colOff>76199</xdr:colOff>
      <xdr:row>334</xdr:row>
      <xdr:rowOff>43543</xdr:rowOff>
    </xdr:from>
    <xdr:to>
      <xdr:col>26</xdr:col>
      <xdr:colOff>155026</xdr:colOff>
      <xdr:row>335</xdr:row>
      <xdr:rowOff>162559</xdr:rowOff>
    </xdr:to>
    <xdr:pic>
      <xdr:nvPicPr>
        <xdr:cNvPr id="469" name="그림 468">
          <a:extLst>
            <a:ext uri="{FF2B5EF4-FFF2-40B4-BE49-F238E27FC236}">
              <a16:creationId xmlns:a16="http://schemas.microsoft.com/office/drawing/2014/main" id="{FD42F1F8-A8C9-4589-93D7-D1D463132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1628" y="65423143"/>
          <a:ext cx="1319798" cy="314959"/>
        </a:xfrm>
        <a:prstGeom prst="rect">
          <a:avLst/>
        </a:prstGeom>
      </xdr:spPr>
    </xdr:pic>
    <xdr:clientData/>
  </xdr:twoCellAnchor>
  <xdr:twoCellAnchor>
    <xdr:from>
      <xdr:col>27</xdr:col>
      <xdr:colOff>49923</xdr:colOff>
      <xdr:row>334</xdr:row>
      <xdr:rowOff>43543</xdr:rowOff>
    </xdr:from>
    <xdr:to>
      <xdr:col>33</xdr:col>
      <xdr:colOff>128750</xdr:colOff>
      <xdr:row>335</xdr:row>
      <xdr:rowOff>162559</xdr:rowOff>
    </xdr:to>
    <xdr:pic>
      <xdr:nvPicPr>
        <xdr:cNvPr id="470" name="그림 469">
          <a:extLst>
            <a:ext uri="{FF2B5EF4-FFF2-40B4-BE49-F238E27FC236}">
              <a16:creationId xmlns:a16="http://schemas.microsoft.com/office/drawing/2014/main" id="{C1C6574E-11F4-4555-BB0E-7CF00465C4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3152" y="65423143"/>
          <a:ext cx="1319798" cy="314959"/>
        </a:xfrm>
        <a:prstGeom prst="rect">
          <a:avLst/>
        </a:prstGeom>
      </xdr:spPr>
    </xdr:pic>
    <xdr:clientData/>
  </xdr:twoCellAnchor>
  <xdr:twoCellAnchor>
    <xdr:from>
      <xdr:col>34</xdr:col>
      <xdr:colOff>81455</xdr:colOff>
      <xdr:row>334</xdr:row>
      <xdr:rowOff>43543</xdr:rowOff>
    </xdr:from>
    <xdr:to>
      <xdr:col>40</xdr:col>
      <xdr:colOff>60434</xdr:colOff>
      <xdr:row>335</xdr:row>
      <xdr:rowOff>162559</xdr:rowOff>
    </xdr:to>
    <xdr:pic>
      <xdr:nvPicPr>
        <xdr:cNvPr id="471" name="그림 470">
          <a:extLst>
            <a:ext uri="{FF2B5EF4-FFF2-40B4-BE49-F238E27FC236}">
              <a16:creationId xmlns:a16="http://schemas.microsoft.com/office/drawing/2014/main" id="{EDA05792-C8B4-4A04-836D-4E047E798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22484" y="65423143"/>
          <a:ext cx="1230836" cy="314959"/>
        </a:xfrm>
        <a:prstGeom prst="rect">
          <a:avLst/>
        </a:prstGeom>
      </xdr:spPr>
    </xdr:pic>
    <xdr:clientData/>
  </xdr:twoCellAnchor>
  <xdr:twoCellAnchor>
    <xdr:from>
      <xdr:col>41</xdr:col>
      <xdr:colOff>43544</xdr:colOff>
      <xdr:row>334</xdr:row>
      <xdr:rowOff>43544</xdr:rowOff>
    </xdr:from>
    <xdr:to>
      <xdr:col>42</xdr:col>
      <xdr:colOff>164409</xdr:colOff>
      <xdr:row>335</xdr:row>
      <xdr:rowOff>162560</xdr:rowOff>
    </xdr:to>
    <xdr:pic>
      <xdr:nvPicPr>
        <xdr:cNvPr id="472" name="그림 471">
          <a:extLst>
            <a:ext uri="{FF2B5EF4-FFF2-40B4-BE49-F238E27FC236}">
              <a16:creationId xmlns:a16="http://schemas.microsoft.com/office/drawing/2014/main" id="{78031EB1-ACD4-4939-BA80-0EFD1F680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43258" y="65423144"/>
          <a:ext cx="327694" cy="314959"/>
        </a:xfrm>
        <a:prstGeom prst="rect">
          <a:avLst/>
        </a:prstGeom>
      </xdr:spPr>
    </xdr:pic>
    <xdr:clientData/>
  </xdr:twoCellAnchor>
  <xdr:twoCellAnchor>
    <xdr:from>
      <xdr:col>43</xdr:col>
      <xdr:colOff>54055</xdr:colOff>
      <xdr:row>334</xdr:row>
      <xdr:rowOff>43544</xdr:rowOff>
    </xdr:from>
    <xdr:to>
      <xdr:col>44</xdr:col>
      <xdr:colOff>174919</xdr:colOff>
      <xdr:row>335</xdr:row>
      <xdr:rowOff>162560</xdr:rowOff>
    </xdr:to>
    <xdr:pic>
      <xdr:nvPicPr>
        <xdr:cNvPr id="473" name="그림 472">
          <a:extLst>
            <a:ext uri="{FF2B5EF4-FFF2-40B4-BE49-F238E27FC236}">
              <a16:creationId xmlns:a16="http://schemas.microsoft.com/office/drawing/2014/main" id="{7C1B6ADA-103F-44E1-9888-904F31751F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67426" y="65423144"/>
          <a:ext cx="327693" cy="314959"/>
        </a:xfrm>
        <a:prstGeom prst="rect">
          <a:avLst/>
        </a:prstGeom>
      </xdr:spPr>
    </xdr:pic>
    <xdr:clientData/>
  </xdr:twoCellAnchor>
  <xdr:twoCellAnchor>
    <xdr:from>
      <xdr:col>39</xdr:col>
      <xdr:colOff>21772</xdr:colOff>
      <xdr:row>339</xdr:row>
      <xdr:rowOff>65316</xdr:rowOff>
    </xdr:from>
    <xdr:to>
      <xdr:col>40</xdr:col>
      <xdr:colOff>198079</xdr:colOff>
      <xdr:row>340</xdr:row>
      <xdr:rowOff>154961</xdr:rowOff>
    </xdr:to>
    <xdr:pic>
      <xdr:nvPicPr>
        <xdr:cNvPr id="474" name="그림 473">
          <a:extLst>
            <a:ext uri="{FF2B5EF4-FFF2-40B4-BE49-F238E27FC236}">
              <a16:creationId xmlns:a16="http://schemas.microsoft.com/office/drawing/2014/main" id="{6592526D-5C12-45E0-A4AE-12562CA4C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07829" y="66424630"/>
          <a:ext cx="383136" cy="285588"/>
        </a:xfrm>
        <a:prstGeom prst="rect">
          <a:avLst/>
        </a:prstGeom>
      </xdr:spPr>
    </xdr:pic>
    <xdr:clientData/>
  </xdr:twoCellAnchor>
  <xdr:twoCellAnchor>
    <xdr:from>
      <xdr:col>42</xdr:col>
      <xdr:colOff>19014</xdr:colOff>
      <xdr:row>339</xdr:row>
      <xdr:rowOff>65316</xdr:rowOff>
    </xdr:from>
    <xdr:to>
      <xdr:col>43</xdr:col>
      <xdr:colOff>194287</xdr:colOff>
      <xdr:row>340</xdr:row>
      <xdr:rowOff>154961</xdr:rowOff>
    </xdr:to>
    <xdr:pic>
      <xdr:nvPicPr>
        <xdr:cNvPr id="475" name="그림 474">
          <a:extLst>
            <a:ext uri="{FF2B5EF4-FFF2-40B4-BE49-F238E27FC236}">
              <a16:creationId xmlns:a16="http://schemas.microsoft.com/office/drawing/2014/main" id="{A51FF53C-365B-4629-B38E-1E738B597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25557" y="66424630"/>
          <a:ext cx="382101" cy="285588"/>
        </a:xfrm>
        <a:prstGeom prst="rect">
          <a:avLst/>
        </a:prstGeom>
      </xdr:spPr>
    </xdr:pic>
    <xdr:clientData/>
  </xdr:twoCellAnchor>
  <xdr:twoCellAnchor>
    <xdr:from>
      <xdr:col>42</xdr:col>
      <xdr:colOff>87086</xdr:colOff>
      <xdr:row>342</xdr:row>
      <xdr:rowOff>65315</xdr:rowOff>
    </xdr:from>
    <xdr:to>
      <xdr:col>43</xdr:col>
      <xdr:colOff>158805</xdr:colOff>
      <xdr:row>343</xdr:row>
      <xdr:rowOff>154963</xdr:rowOff>
    </xdr:to>
    <xdr:pic>
      <xdr:nvPicPr>
        <xdr:cNvPr id="476" name="그림 475">
          <a:extLst>
            <a:ext uri="{FF2B5EF4-FFF2-40B4-BE49-F238E27FC236}">
              <a16:creationId xmlns:a16="http://schemas.microsoft.com/office/drawing/2014/main" id="{8C16858E-8166-455C-9037-AD4446C18F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93629" y="67012458"/>
          <a:ext cx="278547" cy="285591"/>
        </a:xfrm>
        <a:prstGeom prst="rect">
          <a:avLst/>
        </a:prstGeom>
      </xdr:spPr>
    </xdr:pic>
    <xdr:clientData/>
  </xdr:twoCellAnchor>
  <xdr:twoCellAnchor editAs="oneCell">
    <xdr:from>
      <xdr:col>10</xdr:col>
      <xdr:colOff>32657</xdr:colOff>
      <xdr:row>337</xdr:row>
      <xdr:rowOff>43543</xdr:rowOff>
    </xdr:from>
    <xdr:to>
      <xdr:col>11</xdr:col>
      <xdr:colOff>179396</xdr:colOff>
      <xdr:row>338</xdr:row>
      <xdr:rowOff>163285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F3103984-EF98-4FFF-B48D-E1CEC2364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09800" y="66010972"/>
          <a:ext cx="353567" cy="3156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203557</xdr:colOff>
      <xdr:row>337</xdr:row>
      <xdr:rowOff>4354</xdr:rowOff>
    </xdr:to>
    <xdr:sp macro="" textlink="">
      <xdr:nvSpPr>
        <xdr:cNvPr id="477" name="직사각형 476">
          <a:extLst>
            <a:ext uri="{FF2B5EF4-FFF2-40B4-BE49-F238E27FC236}">
              <a16:creationId xmlns:a16="http://schemas.microsoft.com/office/drawing/2014/main" id="{4542BC61-F450-4DE7-80A9-D65EDC278017}"/>
            </a:ext>
          </a:extLst>
        </xdr:cNvPr>
        <xdr:cNvSpPr/>
      </xdr:nvSpPr>
      <xdr:spPr>
        <a:xfrm>
          <a:off x="315686" y="65183657"/>
          <a:ext cx="203557" cy="200297"/>
        </a:xfrm>
        <a:prstGeom prst="rect">
          <a:avLst/>
        </a:prstGeom>
        <a:solidFill>
          <a:srgbClr val="F10D7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+mj-ea"/>
              <a:ea typeface="+mj-ea"/>
            </a:rPr>
            <a:t>1</a:t>
          </a:r>
          <a:endParaRPr lang="ko-KR" altLang="en-US" sz="12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2308</xdr:colOff>
      <xdr:row>330</xdr:row>
      <xdr:rowOff>8579</xdr:rowOff>
    </xdr:from>
    <xdr:to>
      <xdr:col>23</xdr:col>
      <xdr:colOff>106778</xdr:colOff>
      <xdr:row>333</xdr:row>
      <xdr:rowOff>106780</xdr:rowOff>
    </xdr:to>
    <xdr:pic>
      <xdr:nvPicPr>
        <xdr:cNvPr id="478" name="그림 477">
          <a:extLst>
            <a:ext uri="{FF2B5EF4-FFF2-40B4-BE49-F238E27FC236}">
              <a16:creationId xmlns:a16="http://schemas.microsoft.com/office/drawing/2014/main" id="{703288C7-AA5F-4554-805E-FA174BE6C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sharpenSoften amount="6000"/>
                  </a14:imgEffect>
                  <a14:imgEffect>
                    <a14:saturation sat="226000"/>
                  </a14:imgEffect>
                  <a14:imgEffect>
                    <a14:brightnessContrast bright="-41000" contrast="-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74028" y="64476088"/>
          <a:ext cx="686029" cy="311298"/>
        </a:xfrm>
        <a:prstGeom prst="rect">
          <a:avLst/>
        </a:prstGeom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30730_&#48149;&#49464;&#50672;_&#53580;&#51060;&#48660;_&#48660;&#47336;&#50500;&#52852;&#51060;&#48652;_&#44256;&#50976;&#47924;&#445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MMON"/>
      <sheetName val="INDEX"/>
      <sheetName val="WEAPON"/>
      <sheetName val="WEAPON_STATUS"/>
      <sheetName val="WEAPON_LIMIT_BREAK"/>
      <sheetName val="SKILL_REINFORCE"/>
      <sheetName val="WARFARE_REINFORCE"/>
      <sheetName val="WEAPON_EXP_INFO"/>
      <sheetName val="STUDENT"/>
      <sheetName val="STUDENT_SPEECH"/>
      <sheetName val="STUDENT_UNIQUE_ITEM"/>
      <sheetName val="STUDENT_UNIQUE_LIMIT_BREAK"/>
      <sheetName val="UNIQUE_SKILL_REINFORCE"/>
      <sheetName val="ITEM"/>
      <sheetName val="GAIN_INFO"/>
      <sheetName val="EQUIPMENT"/>
      <sheetName val="EQUIPMENT_REINFORCE"/>
      <sheetName val="EQUIPMENT_LIMIT_BREAK"/>
      <sheetName val="STAGE"/>
      <sheetName val="STRING"/>
    </sheetNames>
    <sheetDataSet>
      <sheetData sheetId="0"/>
      <sheetData sheetId="1"/>
      <sheetData sheetId="2">
        <row r="5">
          <cell r="L5">
            <v>100</v>
          </cell>
        </row>
        <row r="39">
          <cell r="L39">
            <v>1000</v>
          </cell>
        </row>
        <row r="58">
          <cell r="B58">
            <v>1</v>
          </cell>
          <cell r="C58" t="str">
            <v>공격력</v>
          </cell>
        </row>
        <row r="59">
          <cell r="B59">
            <v>2</v>
          </cell>
          <cell r="C59" t="str">
            <v>최대 체력</v>
          </cell>
        </row>
        <row r="60">
          <cell r="B60">
            <v>3</v>
          </cell>
          <cell r="C60" t="str">
            <v>치유력</v>
          </cell>
        </row>
        <row r="67">
          <cell r="L67">
            <v>10</v>
          </cell>
        </row>
        <row r="92">
          <cell r="L92">
            <v>100</v>
          </cell>
        </row>
        <row r="107">
          <cell r="B107">
            <v>1</v>
          </cell>
          <cell r="C107" t="str">
            <v>공격력</v>
          </cell>
        </row>
        <row r="108">
          <cell r="B108">
            <v>2</v>
          </cell>
          <cell r="C108" t="str">
            <v>치명 대미지</v>
          </cell>
        </row>
        <row r="109">
          <cell r="B109">
            <v>3</v>
          </cell>
          <cell r="C109" t="str">
            <v>치명 수치</v>
          </cell>
        </row>
        <row r="110">
          <cell r="B110">
            <v>4</v>
          </cell>
          <cell r="C110" t="str">
            <v>명중률</v>
          </cell>
        </row>
        <row r="111">
          <cell r="B111">
            <v>5</v>
          </cell>
          <cell r="C111" t="str">
            <v>최대 체력</v>
          </cell>
        </row>
        <row r="112">
          <cell r="B112">
            <v>6</v>
          </cell>
          <cell r="C112" t="str">
            <v>받는 회복 효과 강화율</v>
          </cell>
        </row>
        <row r="113">
          <cell r="B113">
            <v>7</v>
          </cell>
          <cell r="C113" t="str">
            <v>회피 수치</v>
          </cell>
        </row>
        <row r="114">
          <cell r="B114">
            <v>8</v>
          </cell>
          <cell r="C114" t="str">
            <v>방어력</v>
          </cell>
        </row>
        <row r="115">
          <cell r="B115">
            <v>9</v>
          </cell>
          <cell r="C115" t="str">
            <v>군중 제어 저항력</v>
          </cell>
        </row>
        <row r="116">
          <cell r="B116">
            <v>10</v>
          </cell>
          <cell r="C116" t="str">
            <v>군중 제어 강화력</v>
          </cell>
        </row>
        <row r="117">
          <cell r="B117">
            <v>11</v>
          </cell>
          <cell r="C117" t="str">
            <v>치유력</v>
          </cell>
        </row>
        <row r="118">
          <cell r="B118">
            <v>12</v>
          </cell>
          <cell r="C118" t="str">
            <v>치명 저항력</v>
          </cell>
        </row>
        <row r="119">
          <cell r="B119">
            <v>13</v>
          </cell>
          <cell r="C119" t="str">
            <v>치명 대미지 저항률</v>
          </cell>
        </row>
        <row r="120">
          <cell r="B120">
            <v>14</v>
          </cell>
          <cell r="C120" t="str">
            <v>체력</v>
          </cell>
        </row>
        <row r="121">
          <cell r="B121">
            <v>15</v>
          </cell>
          <cell r="C121" t="str">
            <v>명중 수치</v>
          </cell>
        </row>
        <row r="122">
          <cell r="B122">
            <v>16</v>
          </cell>
          <cell r="C122" t="str">
            <v>공격 속도</v>
          </cell>
        </row>
        <row r="123">
          <cell r="B123">
            <v>17</v>
          </cell>
          <cell r="C123" t="str">
            <v>기본 스킬 강화</v>
          </cell>
        </row>
        <row r="124">
          <cell r="B124">
            <v>18</v>
          </cell>
          <cell r="C124" t="str">
            <v>엄폐 성공률</v>
          </cell>
        </row>
        <row r="125">
          <cell r="B125">
            <v>19</v>
          </cell>
          <cell r="C125" t="str">
            <v>이동 속도</v>
          </cell>
        </row>
        <row r="126">
          <cell r="B126">
            <v>20</v>
          </cell>
          <cell r="C126" t="str">
            <v>안정 수치</v>
          </cell>
        </row>
        <row r="127">
          <cell r="B127">
            <v>21</v>
          </cell>
          <cell r="C127" t="str">
            <v>이로운 효과 유지력</v>
          </cell>
        </row>
        <row r="128">
          <cell r="B128">
            <v>22</v>
          </cell>
          <cell r="C128" t="str">
            <v>장탄 수</v>
          </cell>
        </row>
        <row r="135">
          <cell r="L135">
            <v>10</v>
          </cell>
        </row>
        <row r="147">
          <cell r="B147">
            <v>1</v>
          </cell>
          <cell r="C147" t="str">
            <v>시가전</v>
          </cell>
        </row>
        <row r="148">
          <cell r="B148">
            <v>2</v>
          </cell>
          <cell r="C148" t="str">
            <v>야전</v>
          </cell>
        </row>
        <row r="149">
          <cell r="B149">
            <v>3</v>
          </cell>
          <cell r="C149" t="str">
            <v>실내전</v>
          </cell>
        </row>
        <row r="159">
          <cell r="L159">
            <v>100</v>
          </cell>
        </row>
        <row r="181">
          <cell r="L181">
            <v>10000</v>
          </cell>
        </row>
        <row r="182">
          <cell r="L182">
            <v>1000</v>
          </cell>
        </row>
        <row r="183">
          <cell r="L183">
            <v>100</v>
          </cell>
        </row>
        <row r="216">
          <cell r="F216">
            <v>1</v>
          </cell>
          <cell r="G216" t="str">
            <v>SS</v>
          </cell>
        </row>
        <row r="217">
          <cell r="F217">
            <v>2</v>
          </cell>
          <cell r="G217" t="str">
            <v>S</v>
          </cell>
        </row>
        <row r="218">
          <cell r="F218">
            <v>3</v>
          </cell>
          <cell r="G218" t="str">
            <v>A</v>
          </cell>
        </row>
        <row r="219">
          <cell r="F219">
            <v>4</v>
          </cell>
          <cell r="G219" t="str">
            <v>B</v>
          </cell>
        </row>
        <row r="220">
          <cell r="F220">
            <v>5</v>
          </cell>
          <cell r="G220" t="str">
            <v>C</v>
          </cell>
        </row>
        <row r="221">
          <cell r="F221">
            <v>6</v>
          </cell>
          <cell r="G221" t="str">
            <v>D</v>
          </cell>
        </row>
        <row r="231">
          <cell r="L231">
            <v>100</v>
          </cell>
        </row>
        <row r="245">
          <cell r="B245">
            <v>1</v>
          </cell>
          <cell r="C245" t="str">
            <v>일상</v>
          </cell>
          <cell r="F245">
            <v>1</v>
          </cell>
          <cell r="G245" t="str">
            <v>입수</v>
          </cell>
        </row>
        <row r="246">
          <cell r="B246">
            <v>2</v>
          </cell>
          <cell r="C246" t="str">
            <v>배치</v>
          </cell>
          <cell r="F246">
            <v>2</v>
          </cell>
          <cell r="G246" t="str">
            <v>로비 방문</v>
          </cell>
        </row>
        <row r="247">
          <cell r="B247">
            <v>3</v>
          </cell>
          <cell r="C247" t="str">
            <v>전투</v>
          </cell>
          <cell r="F247">
            <v>3</v>
          </cell>
          <cell r="G247" t="str">
            <v>잡담</v>
          </cell>
        </row>
        <row r="248">
          <cell r="B248">
            <v>4</v>
          </cell>
          <cell r="C248" t="str">
            <v>결과</v>
          </cell>
          <cell r="F248">
            <v>4</v>
          </cell>
          <cell r="G248" t="str">
            <v>편성</v>
          </cell>
        </row>
        <row r="249">
          <cell r="B249">
            <v>5</v>
          </cell>
          <cell r="C249" t="str">
            <v>기타</v>
          </cell>
          <cell r="F249">
            <v>5</v>
          </cell>
          <cell r="G249" t="str">
            <v>출격</v>
          </cell>
        </row>
        <row r="250">
          <cell r="B250">
            <v>6</v>
          </cell>
          <cell r="C250" t="str">
            <v>메모리얼</v>
          </cell>
          <cell r="F250">
            <v>6</v>
          </cell>
          <cell r="G250" t="str">
            <v>전투개시</v>
          </cell>
        </row>
        <row r="251">
          <cell r="B251">
            <v>7</v>
          </cell>
          <cell r="C251" t="str">
            <v>기념일</v>
          </cell>
          <cell r="F251">
            <v>7</v>
          </cell>
          <cell r="G251" t="str">
            <v>이동</v>
          </cell>
        </row>
        <row r="252">
          <cell r="B252">
            <v>8</v>
          </cell>
          <cell r="C252" t="str">
            <v>이벤트</v>
          </cell>
          <cell r="F252">
            <v>8</v>
          </cell>
          <cell r="G252" t="str">
            <v>에이리어 이동</v>
          </cell>
        </row>
        <row r="253">
          <cell r="F253">
            <v>9</v>
          </cell>
          <cell r="G253" t="str">
            <v>엄폐</v>
          </cell>
        </row>
        <row r="254">
          <cell r="F254">
            <v>10</v>
          </cell>
          <cell r="G254" t="str">
            <v>회피</v>
          </cell>
        </row>
        <row r="255">
          <cell r="F255">
            <v>11</v>
          </cell>
          <cell r="G255" t="str">
            <v>회복</v>
          </cell>
        </row>
        <row r="256">
          <cell r="F256">
            <v>12</v>
          </cell>
          <cell r="G256" t="str">
            <v>버프</v>
          </cell>
        </row>
        <row r="257">
          <cell r="F257">
            <v>13</v>
          </cell>
          <cell r="G257" t="str">
            <v>기본 스킬</v>
          </cell>
        </row>
        <row r="258">
          <cell r="F258">
            <v>14</v>
          </cell>
          <cell r="G258" t="str">
            <v>EX 스킬 컷인</v>
          </cell>
        </row>
        <row r="259">
          <cell r="F259">
            <v>15</v>
          </cell>
          <cell r="G259" t="str">
            <v>EX 스킬</v>
          </cell>
        </row>
        <row r="260">
          <cell r="F260">
            <v>16</v>
          </cell>
          <cell r="G260" t="str">
            <v>승리</v>
          </cell>
        </row>
        <row r="261">
          <cell r="F261">
            <v>17</v>
          </cell>
          <cell r="G261" t="str">
            <v>철수</v>
          </cell>
        </row>
        <row r="262">
          <cell r="F262">
            <v>18</v>
          </cell>
          <cell r="G262" t="str">
            <v>임무 완료</v>
          </cell>
        </row>
        <row r="263">
          <cell r="F263">
            <v>19</v>
          </cell>
          <cell r="G263" t="str">
            <v>임무 실패</v>
          </cell>
        </row>
        <row r="264">
          <cell r="F264">
            <v>20</v>
          </cell>
          <cell r="G264" t="str">
            <v>강화</v>
          </cell>
        </row>
        <row r="265">
          <cell r="F265">
            <v>21</v>
          </cell>
          <cell r="G265" t="str">
            <v>고유무기 장착</v>
          </cell>
        </row>
        <row r="266">
          <cell r="F266">
            <v>22</v>
          </cell>
          <cell r="G266" t="str">
            <v>카페</v>
          </cell>
        </row>
        <row r="267">
          <cell r="F267">
            <v>23</v>
          </cell>
          <cell r="G267" t="str">
            <v>인연 랭크 업</v>
          </cell>
        </row>
        <row r="268">
          <cell r="F268">
            <v>24</v>
          </cell>
          <cell r="G268" t="str">
            <v>메모리얼 로비</v>
          </cell>
        </row>
        <row r="269">
          <cell r="F269">
            <v>25</v>
          </cell>
          <cell r="G269" t="str">
            <v>생일</v>
          </cell>
        </row>
        <row r="270">
          <cell r="F270">
            <v>26</v>
          </cell>
          <cell r="G270" t="str">
            <v>선생의 생일</v>
          </cell>
        </row>
        <row r="271">
          <cell r="F271">
            <v>27</v>
          </cell>
          <cell r="G271" t="str">
            <v>할로윈</v>
          </cell>
        </row>
        <row r="272">
          <cell r="F272">
            <v>28</v>
          </cell>
          <cell r="G272" t="str">
            <v>크리스마스</v>
          </cell>
        </row>
        <row r="273">
          <cell r="F273">
            <v>29</v>
          </cell>
          <cell r="G273" t="str">
            <v>신년</v>
          </cell>
        </row>
        <row r="274">
          <cell r="F274">
            <v>30</v>
          </cell>
          <cell r="G274" t="str">
            <v>입장</v>
          </cell>
        </row>
        <row r="275">
          <cell r="F275">
            <v>31</v>
          </cell>
          <cell r="G275" t="str">
            <v>서브 스킬</v>
          </cell>
        </row>
        <row r="282">
          <cell r="L282">
            <v>1000000</v>
          </cell>
        </row>
        <row r="283">
          <cell r="L283">
            <v>10</v>
          </cell>
        </row>
        <row r="324">
          <cell r="F324">
            <v>1</v>
          </cell>
          <cell r="G324" t="str">
            <v>공격력</v>
          </cell>
        </row>
        <row r="325">
          <cell r="F325">
            <v>2</v>
          </cell>
          <cell r="G325" t="str">
            <v>방어력</v>
          </cell>
        </row>
        <row r="326">
          <cell r="F326">
            <v>3</v>
          </cell>
          <cell r="G326" t="str">
            <v>명중 수치</v>
          </cell>
        </row>
        <row r="327">
          <cell r="F327">
            <v>4</v>
          </cell>
          <cell r="G327" t="str">
            <v>치명 대미지</v>
          </cell>
        </row>
        <row r="328">
          <cell r="F328">
            <v>5</v>
          </cell>
          <cell r="G328" t="str">
            <v>치명 저항력</v>
          </cell>
        </row>
        <row r="329">
          <cell r="F329">
            <v>6</v>
          </cell>
          <cell r="G329" t="str">
            <v>치명 대미지 저항률</v>
          </cell>
        </row>
        <row r="330">
          <cell r="F330">
            <v>7</v>
          </cell>
          <cell r="G330" t="str">
            <v>최대 체력</v>
          </cell>
        </row>
        <row r="331">
          <cell r="F331">
            <v>8</v>
          </cell>
          <cell r="G331" t="str">
            <v>군중 제어 강화력</v>
          </cell>
        </row>
        <row r="332">
          <cell r="F332">
            <v>9</v>
          </cell>
          <cell r="G332" t="str">
            <v>받는 회복 효과 강화율</v>
          </cell>
        </row>
        <row r="333">
          <cell r="F333">
            <v>10</v>
          </cell>
          <cell r="G333" t="str">
            <v>공격 속도</v>
          </cell>
        </row>
        <row r="340">
          <cell r="L340">
            <v>100</v>
          </cell>
        </row>
        <row r="364">
          <cell r="B364">
            <v>1</v>
          </cell>
          <cell r="C364" t="str">
            <v>적 처치 시</v>
          </cell>
          <cell r="F364">
            <v>1</v>
          </cell>
          <cell r="G364" t="str">
            <v>공격력</v>
          </cell>
        </row>
        <row r="365">
          <cell r="B365">
            <v>2</v>
          </cell>
          <cell r="C365" t="str">
            <v>체력 20% 이하 시</v>
          </cell>
          <cell r="F365">
            <v>2</v>
          </cell>
          <cell r="G365" t="str">
            <v>방어력</v>
          </cell>
        </row>
        <row r="366">
          <cell r="B366">
            <v>3</v>
          </cell>
          <cell r="C366" t="str">
            <v>일반 공격 시</v>
          </cell>
          <cell r="F366">
            <v>3</v>
          </cell>
          <cell r="G366" t="str">
            <v>치유력</v>
          </cell>
        </row>
        <row r="367">
          <cell r="B367">
            <v>4</v>
          </cell>
          <cell r="C367" t="str">
            <v>적 1인 공격 시</v>
          </cell>
          <cell r="F367">
            <v>4</v>
          </cell>
          <cell r="G367" t="str">
            <v>방어력 무시</v>
          </cell>
        </row>
        <row r="368">
          <cell r="B368">
            <v>5</v>
          </cell>
          <cell r="C368" t="str">
            <v>원형 범위 내 적 공격 시</v>
          </cell>
          <cell r="F368">
            <v>5</v>
          </cell>
          <cell r="G368" t="str">
            <v>회피 수치</v>
          </cell>
        </row>
        <row r="369">
          <cell r="B369">
            <v>6</v>
          </cell>
          <cell r="C369" t="str">
            <v>부채꼴 범위 내 적 공격 시</v>
          </cell>
          <cell r="F369">
            <v>6</v>
          </cell>
          <cell r="G369" t="str">
            <v>명중 수치</v>
          </cell>
        </row>
        <row r="370">
          <cell r="B370">
            <v>7</v>
          </cell>
          <cell r="C370" t="str">
            <v>가장 가까운 적 공격 시</v>
          </cell>
          <cell r="F370">
            <v>7</v>
          </cell>
          <cell r="G370" t="str">
            <v>치명 수치</v>
          </cell>
        </row>
        <row r="371">
          <cell r="B371">
            <v>8</v>
          </cell>
          <cell r="C371" t="str">
            <v>중첩 시</v>
          </cell>
          <cell r="F371">
            <v>8</v>
          </cell>
          <cell r="G371" t="str">
            <v>치명 대미지</v>
          </cell>
        </row>
        <row r="372">
          <cell r="F372">
            <v>9</v>
          </cell>
          <cell r="G372" t="str">
            <v>치명 저항력</v>
          </cell>
        </row>
        <row r="373">
          <cell r="F373">
            <v>10</v>
          </cell>
          <cell r="G373" t="str">
            <v>치명 대미지 저항률</v>
          </cell>
        </row>
        <row r="374">
          <cell r="F374">
            <v>11</v>
          </cell>
          <cell r="G374" t="str">
            <v>군중 제어 저항력</v>
          </cell>
        </row>
        <row r="375">
          <cell r="F375">
            <v>12</v>
          </cell>
          <cell r="G375" t="str">
            <v>군중 제어 강화력</v>
          </cell>
        </row>
        <row r="376">
          <cell r="F376">
            <v>13</v>
          </cell>
          <cell r="G376" t="str">
            <v>명중률</v>
          </cell>
        </row>
        <row r="377">
          <cell r="F377">
            <v>14</v>
          </cell>
          <cell r="G377" t="str">
            <v>체력</v>
          </cell>
        </row>
        <row r="378">
          <cell r="F378">
            <v>15</v>
          </cell>
          <cell r="G378" t="str">
            <v>최대 체력</v>
          </cell>
        </row>
        <row r="379">
          <cell r="F379">
            <v>16</v>
          </cell>
          <cell r="G379" t="str">
            <v>받는 회복 효과 강화율</v>
          </cell>
        </row>
        <row r="380">
          <cell r="F380">
            <v>17</v>
          </cell>
          <cell r="G380" t="str">
            <v>공격 속도</v>
          </cell>
        </row>
        <row r="381">
          <cell r="F381">
            <v>18</v>
          </cell>
          <cell r="G381" t="str">
            <v>기본 스킬 강화</v>
          </cell>
        </row>
        <row r="382">
          <cell r="F382">
            <v>19</v>
          </cell>
          <cell r="G382" t="str">
            <v>포탑 소환</v>
          </cell>
        </row>
        <row r="383">
          <cell r="F383">
            <v>20</v>
          </cell>
          <cell r="G383" t="str">
            <v>불사</v>
          </cell>
        </row>
        <row r="384">
          <cell r="F384">
            <v>21</v>
          </cell>
          <cell r="G384" t="str">
            <v>기절</v>
          </cell>
        </row>
        <row r="385">
          <cell r="F385">
            <v>22</v>
          </cell>
          <cell r="G385" t="str">
            <v>스킬 코스트 증가</v>
          </cell>
        </row>
        <row r="392">
          <cell r="L392">
            <v>10000</v>
          </cell>
        </row>
        <row r="393">
          <cell r="L393">
            <v>100</v>
          </cell>
        </row>
        <row r="394">
          <cell r="L394">
            <v>10</v>
          </cell>
        </row>
        <row r="448">
          <cell r="B448">
            <v>1</v>
          </cell>
          <cell r="C448" t="str">
            <v>공격력</v>
          </cell>
        </row>
        <row r="449">
          <cell r="B449">
            <v>2</v>
          </cell>
          <cell r="C449" t="str">
            <v>치명 대미지</v>
          </cell>
        </row>
        <row r="450">
          <cell r="B450">
            <v>3</v>
          </cell>
          <cell r="C450" t="str">
            <v>치명 수치</v>
          </cell>
        </row>
        <row r="451">
          <cell r="B451">
            <v>4</v>
          </cell>
          <cell r="C451" t="str">
            <v>명중률</v>
          </cell>
        </row>
        <row r="452">
          <cell r="B452">
            <v>5</v>
          </cell>
          <cell r="C452" t="str">
            <v>최대 체력</v>
          </cell>
        </row>
        <row r="453">
          <cell r="B453">
            <v>6</v>
          </cell>
          <cell r="C453" t="str">
            <v>받는 회복 효과 강화율</v>
          </cell>
        </row>
        <row r="454">
          <cell r="B454">
            <v>7</v>
          </cell>
          <cell r="C454" t="str">
            <v>회피 수치</v>
          </cell>
        </row>
        <row r="455">
          <cell r="B455">
            <v>8</v>
          </cell>
          <cell r="C455" t="str">
            <v>방어력</v>
          </cell>
        </row>
        <row r="456">
          <cell r="B456">
            <v>9</v>
          </cell>
          <cell r="C456" t="str">
            <v>군중 제어 저항력</v>
          </cell>
        </row>
        <row r="457">
          <cell r="B457">
            <v>10</v>
          </cell>
          <cell r="C457" t="str">
            <v>군중 제어 강화력</v>
          </cell>
        </row>
        <row r="458">
          <cell r="B458">
            <v>11</v>
          </cell>
          <cell r="C458" t="str">
            <v>치유력</v>
          </cell>
        </row>
        <row r="459">
          <cell r="B459">
            <v>12</v>
          </cell>
          <cell r="C459" t="str">
            <v>치명 저항력</v>
          </cell>
        </row>
        <row r="460">
          <cell r="B460">
            <v>13</v>
          </cell>
          <cell r="C460" t="str">
            <v>치명 대미지 저항률</v>
          </cell>
        </row>
        <row r="461">
          <cell r="B461">
            <v>14</v>
          </cell>
          <cell r="C461" t="str">
            <v>체력</v>
          </cell>
        </row>
        <row r="462">
          <cell r="B462">
            <v>15</v>
          </cell>
          <cell r="C462" t="str">
            <v>명중 수치</v>
          </cell>
        </row>
        <row r="463">
          <cell r="B463">
            <v>16</v>
          </cell>
          <cell r="C463" t="str">
            <v>공격 속도</v>
          </cell>
        </row>
        <row r="464">
          <cell r="B464">
            <v>17</v>
          </cell>
          <cell r="C464" t="str">
            <v>기본 스킬 강화</v>
          </cell>
        </row>
        <row r="471">
          <cell r="L471">
            <v>10</v>
          </cell>
        </row>
        <row r="502">
          <cell r="L502">
            <v>100</v>
          </cell>
        </row>
        <row r="543">
          <cell r="L543">
            <v>10000</v>
          </cell>
        </row>
        <row r="544">
          <cell r="L544">
            <v>1000</v>
          </cell>
        </row>
        <row r="545">
          <cell r="L545">
            <v>10</v>
          </cell>
        </row>
        <row r="554">
          <cell r="B554">
            <v>1</v>
          </cell>
          <cell r="C554" t="str">
            <v>Normal</v>
          </cell>
        </row>
        <row r="555">
          <cell r="B555">
            <v>2</v>
          </cell>
          <cell r="C555" t="str">
            <v>Hard</v>
          </cell>
        </row>
        <row r="562">
          <cell r="L562">
            <v>100000</v>
          </cell>
        </row>
        <row r="563">
          <cell r="L563">
            <v>1000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C1" t="str">
            <v>#사용 학생 이름</v>
          </cell>
          <cell r="D1" t="str">
            <v>애용품 그룹</v>
          </cell>
        </row>
        <row r="2">
          <cell r="C2" t="str">
            <v>USED_STUDENT_NAME</v>
          </cell>
          <cell r="D2" t="str">
            <v>UNIQUE_ITEM_GROUP</v>
          </cell>
        </row>
        <row r="3">
          <cell r="C3" t="str">
            <v>참조</v>
          </cell>
          <cell r="D3" t="str">
            <v>int</v>
          </cell>
        </row>
        <row r="4">
          <cell r="C4" t="str">
            <v>아루</v>
          </cell>
          <cell r="D4">
            <v>11305</v>
          </cell>
        </row>
        <row r="5">
          <cell r="C5" t="str">
            <v>아루</v>
          </cell>
          <cell r="D5">
            <v>11305</v>
          </cell>
        </row>
        <row r="6">
          <cell r="C6" t="str">
            <v>츠루기</v>
          </cell>
          <cell r="D6">
            <v>11342</v>
          </cell>
        </row>
        <row r="7">
          <cell r="C7" t="str">
            <v>츠루기</v>
          </cell>
          <cell r="D7">
            <v>11342</v>
          </cell>
        </row>
        <row r="8">
          <cell r="C8" t="str">
            <v>슌</v>
          </cell>
          <cell r="D8">
            <v>11353</v>
          </cell>
        </row>
        <row r="9">
          <cell r="C9" t="str">
            <v>슌</v>
          </cell>
          <cell r="D9">
            <v>11353</v>
          </cell>
        </row>
        <row r="10">
          <cell r="C10" t="str">
            <v>아스나</v>
          </cell>
          <cell r="D10">
            <v>11121</v>
          </cell>
        </row>
        <row r="11">
          <cell r="C11" t="str">
            <v>아스나</v>
          </cell>
          <cell r="D11">
            <v>11121</v>
          </cell>
        </row>
        <row r="12">
          <cell r="C12" t="str">
            <v>유우카</v>
          </cell>
          <cell r="D12">
            <v>12217</v>
          </cell>
        </row>
        <row r="13">
          <cell r="C13" t="str">
            <v>유우카</v>
          </cell>
          <cell r="D13">
            <v>12217</v>
          </cell>
        </row>
        <row r="14">
          <cell r="C14" t="str">
            <v>하레</v>
          </cell>
          <cell r="D14">
            <v>24209</v>
          </cell>
        </row>
        <row r="15">
          <cell r="C15" t="str">
            <v>하레</v>
          </cell>
          <cell r="D15">
            <v>24209</v>
          </cell>
        </row>
        <row r="16">
          <cell r="C16" t="str">
            <v>체리노</v>
          </cell>
          <cell r="D16">
            <v>11357</v>
          </cell>
        </row>
        <row r="17">
          <cell r="C17" t="str">
            <v>체리노</v>
          </cell>
          <cell r="D17">
            <v>11357</v>
          </cell>
        </row>
        <row r="18">
          <cell r="C18" t="str">
            <v>우타하</v>
          </cell>
          <cell r="D18">
            <v>11225</v>
          </cell>
        </row>
        <row r="19">
          <cell r="C19" t="str">
            <v>우타하</v>
          </cell>
          <cell r="D19">
            <v>11225</v>
          </cell>
        </row>
        <row r="20">
          <cell r="C20" t="str">
            <v>시로코</v>
          </cell>
          <cell r="D20">
            <v>11301</v>
          </cell>
        </row>
        <row r="21">
          <cell r="C21" t="str">
            <v>시로코</v>
          </cell>
          <cell r="D21">
            <v>11301</v>
          </cell>
        </row>
        <row r="22">
          <cell r="C22" t="str">
            <v>네루</v>
          </cell>
          <cell r="D22">
            <v>11320</v>
          </cell>
        </row>
        <row r="23">
          <cell r="C23" t="str">
            <v>네루</v>
          </cell>
          <cell r="D23">
            <v>11320</v>
          </cell>
        </row>
        <row r="24">
          <cell r="C24" t="str">
            <v>준코</v>
          </cell>
          <cell r="D24">
            <v>11212</v>
          </cell>
        </row>
        <row r="25">
          <cell r="C25" t="str">
            <v>준코</v>
          </cell>
          <cell r="D25">
            <v>11212</v>
          </cell>
        </row>
        <row r="26">
          <cell r="C26" t="str">
            <v>스즈미</v>
          </cell>
          <cell r="D26">
            <v>14136</v>
          </cell>
        </row>
        <row r="27">
          <cell r="C27" t="str">
            <v>스즈미</v>
          </cell>
          <cell r="D27">
            <v>14136</v>
          </cell>
        </row>
        <row r="28">
          <cell r="C28" t="str">
            <v>이즈미</v>
          </cell>
          <cell r="D28">
            <v>11313</v>
          </cell>
        </row>
        <row r="29">
          <cell r="C29" t="str">
            <v>이즈미</v>
          </cell>
          <cell r="D29">
            <v>11313</v>
          </cell>
        </row>
        <row r="30">
          <cell r="C30" t="str">
            <v>에이미</v>
          </cell>
          <cell r="D30">
            <v>12328</v>
          </cell>
        </row>
        <row r="31">
          <cell r="C31" t="str">
            <v>에이미</v>
          </cell>
          <cell r="D31">
            <v>12328</v>
          </cell>
        </row>
        <row r="32">
          <cell r="C32" t="str">
            <v>히나</v>
          </cell>
          <cell r="D32">
            <v>11309</v>
          </cell>
        </row>
        <row r="33">
          <cell r="C33" t="str">
            <v>히나</v>
          </cell>
          <cell r="D33">
            <v>11309</v>
          </cell>
        </row>
        <row r="34">
          <cell r="C34" t="str">
            <v>히후미</v>
          </cell>
          <cell r="D34">
            <v>14333</v>
          </cell>
        </row>
        <row r="35">
          <cell r="C35" t="str">
            <v>히후미</v>
          </cell>
          <cell r="D35">
            <v>14333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607-490D-45A3-9C90-217766642905}">
  <dimension ref="A1:CC396"/>
  <sheetViews>
    <sheetView showGridLines="0" tabSelected="1" zoomScale="95" zoomScaleNormal="95" workbookViewId="0"/>
  </sheetViews>
  <sheetFormatPr defaultColWidth="3.42578125" defaultRowHeight="16.149999999999999" customHeight="1"/>
  <cols>
    <col min="1" max="1" width="5.28515625" customWidth="1"/>
    <col min="29" max="29" width="3.42578125" customWidth="1"/>
    <col min="35" max="35" width="3.42578125" customWidth="1"/>
    <col min="36" max="36" width="3.5703125" customWidth="1"/>
    <col min="46" max="46" width="5" customWidth="1"/>
    <col min="47" max="47" width="3.5703125" customWidth="1"/>
  </cols>
  <sheetData>
    <row r="1" spans="1:81" ht="33" customHeight="1">
      <c r="A1" s="8"/>
      <c r="B1" s="15" t="s">
        <v>86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</row>
    <row r="2" spans="1:81" ht="16.149999999999999" customHeight="1">
      <c r="A2" s="1"/>
      <c r="B2" s="1"/>
      <c r="C2" s="1"/>
      <c r="D2" s="1"/>
      <c r="E2" s="3"/>
      <c r="F2" s="3"/>
      <c r="G2" s="3"/>
      <c r="H2" s="3"/>
      <c r="I2" s="3"/>
      <c r="J2" s="3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2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17.45" customHeight="1">
      <c r="A3" s="7"/>
      <c r="B3" s="9" t="s">
        <v>193</v>
      </c>
      <c r="C3" s="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9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10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</row>
    <row r="4" spans="1:81" ht="16.149999999999999" customHeight="1">
      <c r="A4" s="1"/>
      <c r="B4" s="1"/>
      <c r="C4" s="1"/>
      <c r="D4" s="1"/>
      <c r="E4" s="3"/>
      <c r="F4" s="3"/>
      <c r="G4" s="3"/>
      <c r="H4" s="3"/>
      <c r="I4" s="3"/>
      <c r="J4" s="3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ht="16.149999999999999" customHeight="1">
      <c r="A5" s="1"/>
      <c r="B5" s="1"/>
      <c r="C5" s="102">
        <v>1</v>
      </c>
      <c r="D5" s="105" t="s">
        <v>194</v>
      </c>
      <c r="E5" s="104"/>
      <c r="F5" s="104"/>
      <c r="G5" s="104"/>
      <c r="H5" s="104"/>
      <c r="I5" s="104"/>
      <c r="J5" s="104"/>
      <c r="K5" s="104"/>
      <c r="L5" s="104"/>
      <c r="M5" s="103"/>
      <c r="N5" s="103"/>
      <c r="O5" s="103"/>
      <c r="P5" s="103"/>
      <c r="Q5" s="103"/>
      <c r="R5" s="103"/>
      <c r="S5" s="1"/>
      <c r="T5" s="1"/>
      <c r="U5" s="1"/>
      <c r="V5" s="1"/>
      <c r="W5" s="1"/>
      <c r="X5" s="102">
        <v>3</v>
      </c>
      <c r="Y5" s="105" t="s">
        <v>205</v>
      </c>
      <c r="Z5" s="104"/>
      <c r="AA5" s="104"/>
      <c r="AB5" s="104"/>
      <c r="AC5" s="104"/>
      <c r="AD5" s="104"/>
      <c r="AE5" s="104"/>
      <c r="AF5" s="104"/>
      <c r="AG5" s="104"/>
      <c r="AH5" s="103"/>
      <c r="AI5" s="103"/>
      <c r="AJ5" s="103"/>
      <c r="AK5" s="103"/>
      <c r="AL5" s="103"/>
      <c r="AM5" s="103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9" customHeight="1">
      <c r="A6" s="1"/>
      <c r="B6" s="1"/>
      <c r="C6" s="1"/>
      <c r="D6" s="1"/>
      <c r="E6" s="1"/>
      <c r="F6" s="3"/>
      <c r="G6" s="3"/>
      <c r="H6" s="3"/>
      <c r="I6" s="3"/>
      <c r="J6" s="3"/>
      <c r="K6" s="3"/>
      <c r="L6" s="1"/>
      <c r="M6" s="1"/>
      <c r="N6" s="1"/>
      <c r="O6" s="1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3"/>
      <c r="AB6" s="3"/>
      <c r="AC6" s="3"/>
      <c r="AD6" s="3"/>
      <c r="AE6" s="3"/>
      <c r="AF6" s="3"/>
      <c r="AG6" s="1"/>
      <c r="AH6" s="1"/>
      <c r="AI6" s="1"/>
      <c r="AJ6" s="1"/>
      <c r="AK6" s="4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16.149999999999999" customHeight="1">
      <c r="A7" s="1"/>
      <c r="B7" s="1"/>
      <c r="C7" s="1"/>
      <c r="D7" s="106" t="s">
        <v>195</v>
      </c>
      <c r="E7" s="1"/>
      <c r="F7" s="3"/>
      <c r="G7" s="3"/>
      <c r="H7" s="3"/>
      <c r="I7" s="3"/>
      <c r="J7" s="3"/>
      <c r="K7" s="3"/>
      <c r="L7" s="1"/>
      <c r="M7" s="1"/>
      <c r="N7" s="1"/>
      <c r="O7" s="1"/>
      <c r="P7" s="4"/>
      <c r="Q7" s="1"/>
      <c r="R7" s="1"/>
      <c r="S7" s="1"/>
      <c r="T7" s="1"/>
      <c r="U7" s="1"/>
      <c r="V7" s="1"/>
      <c r="W7" s="1"/>
      <c r="X7" s="1"/>
      <c r="Y7" s="106" t="s">
        <v>206</v>
      </c>
      <c r="Z7" s="1"/>
      <c r="AA7" s="3"/>
      <c r="AB7" s="3"/>
      <c r="AC7" s="3"/>
      <c r="AD7" s="3"/>
      <c r="AE7" s="3"/>
      <c r="AF7" s="3"/>
      <c r="AG7" s="1"/>
      <c r="AH7" s="1"/>
      <c r="AI7" s="1"/>
      <c r="AJ7" s="1"/>
      <c r="AK7" s="4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15.6" customHeight="1">
      <c r="A8" s="1"/>
      <c r="B8" s="1"/>
      <c r="C8" s="1"/>
      <c r="D8" s="106" t="s">
        <v>1</v>
      </c>
      <c r="E8" s="1"/>
      <c r="F8" s="3"/>
      <c r="G8" s="3"/>
      <c r="H8" s="3"/>
      <c r="I8" s="3"/>
      <c r="J8" s="3"/>
      <c r="K8" s="3"/>
      <c r="L8" s="1"/>
      <c r="M8" s="1"/>
      <c r="N8" s="1"/>
      <c r="O8" s="1"/>
      <c r="P8" s="4"/>
      <c r="Q8" s="1"/>
      <c r="R8" s="1"/>
      <c r="S8" s="1"/>
      <c r="T8" s="1"/>
      <c r="U8" s="1"/>
      <c r="V8" s="1"/>
      <c r="W8" s="1"/>
      <c r="X8" s="1"/>
      <c r="Y8" s="106" t="s">
        <v>207</v>
      </c>
      <c r="Z8" s="1"/>
      <c r="AA8" s="3"/>
      <c r="AB8" s="3"/>
      <c r="AC8" s="3"/>
      <c r="AD8" s="3"/>
      <c r="AE8" s="3"/>
      <c r="AF8" s="3"/>
      <c r="AG8" s="1"/>
      <c r="AH8" s="1"/>
      <c r="AI8" s="1"/>
      <c r="AJ8" s="1"/>
      <c r="AK8" s="4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2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ht="16.149999999999999" customHeight="1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1"/>
      <c r="M9" s="1"/>
      <c r="N9" s="1"/>
      <c r="O9" s="1"/>
      <c r="P9" s="4"/>
      <c r="Q9" s="1"/>
      <c r="R9" s="1"/>
      <c r="S9" s="1"/>
      <c r="T9" s="1"/>
      <c r="U9" s="1"/>
      <c r="V9" s="1"/>
      <c r="W9" s="1"/>
      <c r="X9" s="1"/>
      <c r="Y9" s="106" t="s">
        <v>208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2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ht="16.149999999999999" customHeight="1">
      <c r="A10" s="1"/>
      <c r="B10" s="1"/>
      <c r="C10" s="1"/>
      <c r="D10" s="1"/>
      <c r="E10" s="1"/>
      <c r="F10" s="3"/>
      <c r="G10" s="3"/>
      <c r="H10" s="3"/>
      <c r="I10" s="3"/>
      <c r="J10" s="3"/>
      <c r="K10" s="3"/>
      <c r="L10" s="1"/>
      <c r="M10" s="1"/>
      <c r="N10" s="1"/>
      <c r="O10" s="1"/>
      <c r="P10" s="4"/>
      <c r="Q10" s="1"/>
      <c r="R10" s="1"/>
      <c r="S10" s="1"/>
      <c r="T10" s="1"/>
      <c r="U10" s="1"/>
      <c r="V10" s="1"/>
      <c r="W10" s="1"/>
      <c r="X10" s="1"/>
      <c r="Y10" s="106" t="s">
        <v>209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2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ht="16.149999999999999" customHeight="1">
      <c r="A11" s="1"/>
      <c r="B11" s="1"/>
      <c r="C11" s="1"/>
      <c r="D11" s="1"/>
      <c r="E11" s="1"/>
      <c r="F11" s="3"/>
      <c r="G11" s="3"/>
      <c r="H11" s="3"/>
      <c r="I11" s="3"/>
      <c r="J11" s="3"/>
      <c r="K11" s="3"/>
      <c r="L11" s="1"/>
      <c r="M11" s="1"/>
      <c r="N11" s="1"/>
      <c r="O11" s="1"/>
      <c r="P11" s="4"/>
      <c r="Q11" s="1"/>
      <c r="R11" s="1"/>
      <c r="S11" s="1"/>
      <c r="T11" s="1"/>
      <c r="U11" s="1"/>
      <c r="V11" s="1"/>
      <c r="W11" s="1"/>
      <c r="X11" s="1"/>
      <c r="Y11" s="106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2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ht="16.149999999999999" customHeight="1">
      <c r="A12" s="1"/>
      <c r="B12" s="1"/>
      <c r="C12" s="102">
        <v>2</v>
      </c>
      <c r="D12" s="105" t="s">
        <v>196</v>
      </c>
      <c r="E12" s="104"/>
      <c r="F12" s="104"/>
      <c r="G12" s="104"/>
      <c r="H12" s="104"/>
      <c r="I12" s="104"/>
      <c r="J12" s="104"/>
      <c r="K12" s="104"/>
      <c r="L12" s="104"/>
      <c r="M12" s="103"/>
      <c r="N12" s="103"/>
      <c r="O12" s="103"/>
      <c r="P12" s="103"/>
      <c r="Q12" s="103"/>
      <c r="R12" s="103"/>
      <c r="S12" s="1"/>
      <c r="T12" s="1"/>
      <c r="U12" s="1"/>
      <c r="V12" s="1"/>
      <c r="W12" s="1"/>
      <c r="X12" s="102">
        <v>4</v>
      </c>
      <c r="Y12" s="105" t="s">
        <v>210</v>
      </c>
      <c r="Z12" s="104"/>
      <c r="AA12" s="104"/>
      <c r="AB12" s="104"/>
      <c r="AC12" s="104"/>
      <c r="AD12" s="104"/>
      <c r="AE12" s="104"/>
      <c r="AF12" s="104"/>
      <c r="AG12" s="104"/>
      <c r="AH12" s="103"/>
      <c r="AI12" s="103"/>
      <c r="AJ12" s="103"/>
      <c r="AK12" s="103"/>
      <c r="AL12" s="103"/>
      <c r="AM12" s="103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2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ht="9" customHeight="1">
      <c r="A13" s="1"/>
      <c r="B13" s="1"/>
      <c r="C13" s="1"/>
      <c r="D13" s="1"/>
      <c r="E13" s="1"/>
      <c r="F13" s="3"/>
      <c r="G13" s="3"/>
      <c r="H13" s="3"/>
      <c r="I13" s="3"/>
      <c r="J13" s="3"/>
      <c r="K13" s="3"/>
      <c r="L13" s="1"/>
      <c r="M13" s="1"/>
      <c r="N13" s="1"/>
      <c r="O13" s="1"/>
      <c r="P13" s="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2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ht="16.149999999999999" customHeight="1">
      <c r="A14" s="1"/>
      <c r="B14" s="1"/>
      <c r="C14" s="1"/>
      <c r="D14" s="106" t="s">
        <v>197</v>
      </c>
      <c r="E14" s="1"/>
      <c r="F14" s="3"/>
      <c r="G14" s="3"/>
      <c r="H14" s="3"/>
      <c r="I14" s="3"/>
      <c r="J14" s="3"/>
      <c r="K14" s="3"/>
      <c r="L14" s="1"/>
      <c r="M14" s="1"/>
      <c r="N14" s="1"/>
      <c r="O14" s="1"/>
      <c r="P14" s="4"/>
      <c r="Q14" s="1"/>
      <c r="R14" s="1"/>
      <c r="S14" s="1"/>
      <c r="T14" s="1"/>
      <c r="U14" s="1"/>
      <c r="V14" s="1"/>
      <c r="W14" s="1"/>
      <c r="X14" s="1"/>
      <c r="Y14" s="106" t="s">
        <v>743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2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16.149999999999999" customHeight="1">
      <c r="A15" s="1"/>
      <c r="B15" s="1"/>
      <c r="C15" s="1"/>
      <c r="D15" s="106" t="s">
        <v>198</v>
      </c>
      <c r="E15" s="1"/>
      <c r="F15" s="3"/>
      <c r="G15" s="3"/>
      <c r="H15" s="3"/>
      <c r="I15" s="3"/>
      <c r="J15" s="3"/>
      <c r="K15" s="3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1"/>
      <c r="Y15" s="106" t="s">
        <v>744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2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16.149999999999999" customHeight="1">
      <c r="A16" s="1"/>
      <c r="B16" s="1"/>
      <c r="C16" s="1"/>
      <c r="D16" s="106" t="s">
        <v>199</v>
      </c>
      <c r="E16" s="1"/>
      <c r="F16" s="3"/>
      <c r="G16" s="3"/>
      <c r="H16" s="3"/>
      <c r="I16" s="3"/>
      <c r="J16" s="3"/>
      <c r="K16" s="3"/>
      <c r="L16" s="1"/>
      <c r="M16" s="1"/>
      <c r="N16" s="1"/>
      <c r="O16" s="1"/>
      <c r="P16" s="4"/>
      <c r="Q16" s="1"/>
      <c r="R16" s="1"/>
      <c r="S16" s="1"/>
      <c r="T16" s="1"/>
      <c r="U16" s="1"/>
      <c r="V16" s="1"/>
      <c r="W16" s="1"/>
      <c r="X16" s="1"/>
      <c r="Y16" s="106" t="s">
        <v>745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2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16.149999999999999" customHeight="1">
      <c r="A17" s="1"/>
      <c r="B17" s="1"/>
      <c r="C17" s="1"/>
      <c r="D17" s="106" t="s">
        <v>200</v>
      </c>
      <c r="E17" s="1"/>
      <c r="F17" s="3"/>
      <c r="G17" s="3"/>
      <c r="H17" s="3"/>
      <c r="I17" s="3"/>
      <c r="J17" s="3"/>
      <c r="K17" s="3"/>
      <c r="L17" s="1"/>
      <c r="M17" s="1"/>
      <c r="N17" s="1"/>
      <c r="O17" s="1"/>
      <c r="P17" s="4"/>
      <c r="Q17" s="1"/>
      <c r="R17" s="1"/>
      <c r="S17" s="1"/>
      <c r="T17" s="1"/>
      <c r="U17" s="1"/>
      <c r="V17" s="1"/>
      <c r="W17" s="1"/>
      <c r="X17" s="1"/>
      <c r="Y17" s="106" t="s">
        <v>746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2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6.149999999999999" customHeight="1">
      <c r="A18" s="1"/>
      <c r="B18" s="1"/>
      <c r="C18" s="1"/>
      <c r="D18" s="106" t="s">
        <v>201</v>
      </c>
      <c r="E18" s="1"/>
      <c r="F18" s="3"/>
      <c r="G18" s="3"/>
      <c r="H18" s="3"/>
      <c r="I18" s="3"/>
      <c r="J18" s="3"/>
      <c r="K18" s="3"/>
      <c r="L18" s="1"/>
      <c r="M18" s="1"/>
      <c r="N18" s="1"/>
      <c r="O18" s="1"/>
      <c r="P18" s="4"/>
      <c r="Q18" s="1"/>
      <c r="R18" s="1"/>
      <c r="S18" s="1"/>
      <c r="T18" s="1"/>
      <c r="U18" s="1"/>
      <c r="V18" s="1"/>
      <c r="W18" s="1"/>
      <c r="X18" s="1"/>
      <c r="Y18" s="106" t="s">
        <v>747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2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6.149999999999999" customHeight="1">
      <c r="A19" s="1"/>
      <c r="B19" s="1"/>
      <c r="C19" s="1"/>
      <c r="D19" s="106" t="s">
        <v>202</v>
      </c>
      <c r="E19" s="1"/>
      <c r="F19" s="3"/>
      <c r="G19" s="3"/>
      <c r="H19" s="3"/>
      <c r="I19" s="3"/>
      <c r="J19" s="3"/>
      <c r="K19" s="3"/>
      <c r="L19" s="1"/>
      <c r="M19" s="1"/>
      <c r="N19" s="1"/>
      <c r="O19" s="1"/>
      <c r="P19" s="4"/>
      <c r="Q19" s="1"/>
      <c r="R19" s="1"/>
      <c r="S19" s="1"/>
      <c r="T19" s="1"/>
      <c r="U19" s="1"/>
      <c r="V19" s="1"/>
      <c r="W19" s="1"/>
      <c r="X19" s="1"/>
      <c r="Y19" s="106" t="s">
        <v>748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2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16.149999999999999" customHeight="1">
      <c r="A20" s="1"/>
      <c r="B20" s="1"/>
      <c r="C20" s="1"/>
      <c r="D20" s="106" t="s">
        <v>203</v>
      </c>
      <c r="E20" s="1"/>
      <c r="F20" s="3"/>
      <c r="G20" s="3"/>
      <c r="H20" s="3"/>
      <c r="I20" s="3"/>
      <c r="J20" s="3"/>
      <c r="K20" s="3"/>
      <c r="L20" s="1"/>
      <c r="M20" s="1"/>
      <c r="N20" s="1"/>
      <c r="O20" s="1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2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16.149999999999999" customHeight="1">
      <c r="A21" s="1"/>
      <c r="B21" s="1"/>
      <c r="C21" s="1"/>
      <c r="D21" s="106" t="s">
        <v>204</v>
      </c>
      <c r="E21" s="1"/>
      <c r="F21" s="3"/>
      <c r="G21" s="3"/>
      <c r="H21" s="3"/>
      <c r="I21" s="3"/>
      <c r="J21" s="3"/>
      <c r="K21" s="3"/>
      <c r="L21" s="1"/>
      <c r="M21" s="1"/>
      <c r="N21" s="1"/>
      <c r="O21" s="1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2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16.149999999999999" customHeight="1">
      <c r="A22" s="1"/>
      <c r="B22" s="1"/>
      <c r="C22" s="1"/>
      <c r="D22" s="1"/>
      <c r="E22" s="3"/>
      <c r="F22" s="3"/>
      <c r="G22" s="3"/>
      <c r="H22" s="3"/>
      <c r="I22" s="3"/>
      <c r="J22" s="3"/>
      <c r="K22" s="1"/>
      <c r="L22" s="1"/>
      <c r="M22" s="1"/>
      <c r="N22" s="1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2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16.149999999999999" customHeight="1">
      <c r="A23" s="1"/>
      <c r="B23" s="1"/>
      <c r="C23" s="1"/>
      <c r="D23" s="1"/>
      <c r="E23" s="3"/>
      <c r="F23" s="3"/>
      <c r="G23" s="3"/>
      <c r="H23" s="3"/>
      <c r="I23" s="3"/>
      <c r="J23" s="3"/>
      <c r="K23" s="1"/>
      <c r="L23" s="1"/>
      <c r="M23" s="1"/>
      <c r="N23" s="1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2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7.45" customHeight="1">
      <c r="A24" s="7"/>
      <c r="B24" s="9" t="s">
        <v>0</v>
      </c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9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10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</row>
    <row r="25" spans="1:81" ht="16.149999999999999" customHeight="1">
      <c r="A25" s="12"/>
      <c r="B25" s="13"/>
      <c r="C25" s="13"/>
      <c r="D25" s="13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3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4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</row>
    <row r="26" spans="1:81" ht="18" customHeight="1">
      <c r="A26" s="3"/>
      <c r="B26" s="1"/>
      <c r="C26" s="4" t="s">
        <v>44</v>
      </c>
      <c r="D26" s="5"/>
      <c r="E26" s="1"/>
      <c r="F26" s="1"/>
      <c r="G26" s="1"/>
      <c r="H26" s="3"/>
      <c r="I26" s="3"/>
      <c r="J26" s="3"/>
      <c r="K26" s="1"/>
      <c r="L26" s="1"/>
      <c r="M26" s="1"/>
      <c r="N26" s="1"/>
      <c r="O26" s="1"/>
      <c r="P26" s="5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1"/>
      <c r="AF26" s="1"/>
      <c r="AG26" s="1"/>
      <c r="AH26" s="1"/>
      <c r="AI26" s="1"/>
      <c r="AJ26" s="5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r="27" spans="1:81" ht="16.149999999999999" customHeight="1">
      <c r="A27" s="3"/>
      <c r="B27" s="1"/>
      <c r="C27" s="1"/>
      <c r="D27" s="11" t="s">
        <v>2</v>
      </c>
      <c r="E27" s="1"/>
      <c r="F27" s="1"/>
      <c r="G27" s="1"/>
      <c r="H27" s="3"/>
      <c r="I27" s="3"/>
      <c r="J27" s="3"/>
      <c r="K27" s="1"/>
      <c r="L27" s="1"/>
      <c r="M27" s="1"/>
      <c r="N27" s="1"/>
      <c r="O27" s="1"/>
      <c r="P27" s="5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1"/>
      <c r="AF27" s="1"/>
      <c r="AG27" s="1"/>
      <c r="AH27" s="1"/>
      <c r="AI27" s="1"/>
      <c r="AJ27" s="5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</row>
    <row r="28" spans="1:81" ht="16.149999999999999" customHeight="1">
      <c r="A28" s="3"/>
      <c r="B28" s="1"/>
      <c r="C28" s="1"/>
      <c r="D28" s="11" t="s">
        <v>597</v>
      </c>
      <c r="E28" s="1"/>
      <c r="F28" s="1"/>
      <c r="G28" s="1"/>
      <c r="H28" s="3"/>
      <c r="I28" s="3"/>
      <c r="J28" s="3"/>
      <c r="K28" s="1"/>
      <c r="L28" s="1"/>
      <c r="M28" s="1"/>
      <c r="N28" s="1"/>
      <c r="O28" s="1"/>
      <c r="P28" s="5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1"/>
      <c r="AF28" s="1"/>
      <c r="AG28" s="1"/>
      <c r="AH28" s="1"/>
      <c r="AI28" s="1"/>
      <c r="AJ28" s="5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</row>
    <row r="29" spans="1:81" ht="16.149999999999999" customHeight="1">
      <c r="A29" s="3"/>
      <c r="B29" s="1"/>
      <c r="C29" s="1"/>
      <c r="D29" s="11" t="s">
        <v>4</v>
      </c>
      <c r="E29" s="11"/>
      <c r="F29" s="1"/>
      <c r="G29" s="1"/>
      <c r="H29" s="3"/>
      <c r="I29" s="3"/>
      <c r="J29" s="3"/>
      <c r="K29" s="3"/>
      <c r="L29" s="3"/>
      <c r="M29" s="3"/>
      <c r="N29" s="3"/>
      <c r="O29" s="3"/>
      <c r="P29" s="5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1"/>
      <c r="AF29" s="1"/>
      <c r="AG29" s="1"/>
      <c r="AH29" s="1"/>
      <c r="AI29" s="1"/>
      <c r="AJ29" s="5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</row>
    <row r="30" spans="1:81" ht="16.149999999999999" customHeight="1">
      <c r="A30" s="3"/>
      <c r="B30" s="1"/>
      <c r="C30" s="1"/>
      <c r="D30" s="11" t="s">
        <v>3</v>
      </c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6"/>
      <c r="AI30" s="3"/>
      <c r="AJ30" s="5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</row>
    <row r="31" spans="1:81" ht="16.149999999999999" customHeight="1">
      <c r="A31" s="3"/>
      <c r="B31" s="3"/>
      <c r="C31" s="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5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</row>
    <row r="32" spans="1:81" ht="18" customHeight="1">
      <c r="A32" s="3"/>
      <c r="B32" s="3"/>
      <c r="C32" s="4" t="s">
        <v>45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4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 spans="1:81" ht="16.149999999999999" customHeight="1">
      <c r="A33" s="3"/>
      <c r="B33" s="3"/>
      <c r="C33" s="4"/>
      <c r="D33" s="11" t="s">
        <v>46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5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4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</row>
    <row r="34" spans="1:81" ht="16.149999999999999" customHeight="1">
      <c r="A34" s="3"/>
      <c r="B34" s="3"/>
      <c r="C34" s="4"/>
      <c r="D34" s="11" t="s">
        <v>47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4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r="35" spans="1:81" ht="16.149999999999999" customHeight="1">
      <c r="A35" s="3"/>
      <c r="B35" s="3"/>
      <c r="C35" s="4"/>
      <c r="D35" s="11" t="s">
        <v>48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5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4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</row>
    <row r="36" spans="1:81" ht="16.149999999999999" customHeight="1">
      <c r="A36" s="3"/>
      <c r="B36" s="3"/>
      <c r="C36" s="4"/>
      <c r="D36" s="11" t="s">
        <v>211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5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4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</row>
    <row r="37" spans="1:81" ht="16.149999999999999" customHeight="1">
      <c r="A37" s="3"/>
      <c r="B37" s="3"/>
      <c r="C37" s="4"/>
      <c r="D37" s="1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5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4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</row>
    <row r="38" spans="1:81" ht="16.149999999999999" customHeight="1">
      <c r="A38" s="3"/>
      <c r="B38" s="3"/>
      <c r="C38" s="4"/>
      <c r="D38" s="1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r="39" spans="1:81" ht="17.45" customHeight="1">
      <c r="A39" s="7"/>
      <c r="B39" s="9" t="s">
        <v>192</v>
      </c>
      <c r="C39" s="9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9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10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</row>
    <row r="40" spans="1:81" ht="16.149999999999999" customHeight="1">
      <c r="A40" s="3"/>
      <c r="B40" s="3"/>
      <c r="C40" s="4"/>
      <c r="D40" s="1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5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4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</row>
    <row r="41" spans="1:81" ht="16.149999999999999" customHeight="1">
      <c r="A41" s="3"/>
      <c r="B41" s="3"/>
      <c r="C41" s="4"/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5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4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</row>
    <row r="42" spans="1:81" ht="16.149999999999999" customHeight="1">
      <c r="A42" s="3"/>
      <c r="B42" s="3"/>
      <c r="C42" s="4"/>
      <c r="D42" s="1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5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4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</row>
    <row r="43" spans="1:81" ht="16.149999999999999" customHeight="1">
      <c r="A43" s="3"/>
      <c r="B43" s="3"/>
      <c r="C43" s="4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5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4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</row>
    <row r="44" spans="1:81" ht="16.149999999999999" customHeight="1">
      <c r="A44" s="3"/>
      <c r="B44" s="3"/>
      <c r="C44" s="4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5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4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</row>
    <row r="45" spans="1:81" ht="16.149999999999999" customHeight="1">
      <c r="A45" s="3"/>
      <c r="B45" s="3"/>
      <c r="C45" s="4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4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r="46" spans="1:81" ht="16.149999999999999" customHeight="1">
      <c r="A46" s="3"/>
      <c r="B46" s="3"/>
      <c r="C46" s="4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5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4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 spans="1:81" ht="16.149999999999999" customHeight="1">
      <c r="A47" s="3"/>
      <c r="B47" s="3"/>
      <c r="C47" s="4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5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4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</row>
    <row r="48" spans="1:81" ht="16.149999999999999" customHeight="1">
      <c r="A48" s="3"/>
      <c r="B48" s="3"/>
      <c r="C48" s="4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5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4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</row>
    <row r="49" spans="1:81" ht="16.149999999999999" customHeight="1">
      <c r="A49" s="3"/>
      <c r="B49" s="3"/>
      <c r="C49" s="4"/>
      <c r="D49" s="1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5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4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</row>
    <row r="50" spans="1:81" ht="16.149999999999999" customHeight="1">
      <c r="A50" s="3"/>
      <c r="B50" s="3"/>
      <c r="C50" s="4"/>
      <c r="D50" s="1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5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4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r="51" spans="1:81" ht="16.149999999999999" customHeight="1">
      <c r="A51" s="3"/>
      <c r="B51" s="3"/>
      <c r="C51" s="4"/>
      <c r="D51" s="1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5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4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</row>
    <row r="52" spans="1:81" ht="16.149999999999999" customHeight="1">
      <c r="A52" s="3"/>
      <c r="B52" s="3"/>
      <c r="C52" s="4"/>
      <c r="D52" s="1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5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4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</row>
    <row r="53" spans="1:81" ht="16.149999999999999" customHeight="1">
      <c r="A53" s="3"/>
      <c r="B53" s="3"/>
      <c r="C53" s="4"/>
      <c r="D53" s="11"/>
      <c r="E53" s="1"/>
      <c r="F53" s="1"/>
      <c r="G53" s="1"/>
      <c r="H53" s="1"/>
      <c r="I53" s="1"/>
      <c r="J53" s="1"/>
      <c r="K53" s="109"/>
      <c r="L53" s="109"/>
      <c r="M53" s="109"/>
      <c r="N53" s="109"/>
      <c r="O53" s="109"/>
      <c r="P53" s="110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4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</row>
    <row r="54" spans="1:81" ht="14.45" customHeight="1">
      <c r="A54" s="3"/>
      <c r="B54" s="11"/>
      <c r="C54" s="4"/>
      <c r="D54" s="11"/>
      <c r="E54" s="1"/>
      <c r="F54" s="1"/>
      <c r="G54" s="1"/>
      <c r="H54" s="1"/>
      <c r="I54" s="1"/>
      <c r="J54" s="1"/>
      <c r="K54" s="109"/>
      <c r="L54" s="109"/>
      <c r="M54" s="112"/>
      <c r="N54" s="116" t="s">
        <v>216</v>
      </c>
      <c r="O54" s="109"/>
      <c r="P54" s="110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3"/>
      <c r="AC54" s="111"/>
      <c r="AD54" s="111"/>
      <c r="AE54" s="111"/>
      <c r="AF54" s="111"/>
      <c r="AG54" s="111"/>
      <c r="AH54" s="111"/>
      <c r="AI54" s="4"/>
      <c r="AJ54" s="111"/>
      <c r="AK54" s="111"/>
      <c r="AL54" s="114"/>
      <c r="AM54" s="112"/>
      <c r="AN54" s="111"/>
      <c r="AO54" s="114"/>
      <c r="AP54" s="116" t="s">
        <v>217</v>
      </c>
      <c r="AQ54" s="112"/>
      <c r="AR54" s="111"/>
      <c r="AS54" s="111"/>
      <c r="AT54" s="111"/>
      <c r="AU54" s="111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</row>
    <row r="55" spans="1:81" ht="14.45" customHeight="1">
      <c r="A55" s="3"/>
      <c r="B55" s="3"/>
      <c r="C55" s="4"/>
      <c r="D55" s="1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5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4"/>
      <c r="AJ55" s="3"/>
      <c r="AK55" s="3"/>
      <c r="AL55" s="108"/>
      <c r="AM55" s="3"/>
      <c r="AN55" s="3"/>
      <c r="AO55" s="115" t="s">
        <v>215</v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</row>
    <row r="56" spans="1:81" ht="16.149999999999999" customHeight="1">
      <c r="A56" s="3"/>
      <c r="B56" s="3"/>
      <c r="C56" s="4"/>
      <c r="D56" s="1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4"/>
      <c r="AJ56" s="3"/>
      <c r="AK56" s="3"/>
      <c r="AL56" s="108"/>
      <c r="AM56" s="3"/>
      <c r="AN56" s="3"/>
      <c r="AO56" s="108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</row>
    <row r="57" spans="1:81" ht="18" customHeight="1">
      <c r="A57" s="3"/>
      <c r="B57" s="3"/>
      <c r="C57" s="4" t="s">
        <v>49</v>
      </c>
      <c r="D57" s="1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4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</row>
    <row r="58" spans="1:81" ht="16.149999999999999" customHeight="1">
      <c r="A58" s="3"/>
      <c r="B58" s="3"/>
      <c r="C58" s="4"/>
      <c r="D58" s="11" t="s">
        <v>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4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</row>
    <row r="59" spans="1:81" ht="16.149999999999999" customHeight="1">
      <c r="A59" s="3"/>
      <c r="B59" s="3"/>
      <c r="C59" s="4"/>
      <c r="D59" s="11" t="s">
        <v>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4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</row>
    <row r="60" spans="1:81" ht="16.149999999999999" customHeight="1">
      <c r="A60" s="3"/>
      <c r="B60" s="3"/>
      <c r="C60" s="4"/>
      <c r="D60" s="11" t="s">
        <v>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4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</row>
    <row r="61" spans="1:81" ht="16.149999999999999" customHeight="1">
      <c r="A61" s="3"/>
      <c r="B61" s="3"/>
      <c r="C61" s="4"/>
      <c r="D61" s="11"/>
      <c r="E61" s="107" t="s">
        <v>212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4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</row>
    <row r="62" spans="1:81" ht="16.149999999999999" customHeight="1">
      <c r="A62" s="3"/>
      <c r="B62" s="3"/>
      <c r="C62" s="4"/>
      <c r="D62" s="11" t="s">
        <v>72</v>
      </c>
      <c r="E62" s="16"/>
      <c r="F62" s="1"/>
      <c r="G62" s="1"/>
      <c r="H62" s="1"/>
      <c r="I62" s="1"/>
      <c r="J62" s="1"/>
      <c r="K62" s="1"/>
      <c r="L62" s="1"/>
      <c r="M62" s="1"/>
      <c r="N62" s="1"/>
      <c r="O62" s="1"/>
      <c r="P62" s="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4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</row>
    <row r="63" spans="1:81" ht="16.149999999999999" customHeight="1">
      <c r="A63" s="3"/>
      <c r="B63" s="3"/>
      <c r="C63" s="4"/>
      <c r="D63" s="11" t="s">
        <v>213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4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</row>
    <row r="64" spans="1:81" ht="16.149999999999999" customHeight="1">
      <c r="A64" s="3"/>
      <c r="B64" s="3"/>
      <c r="C64" s="4"/>
      <c r="D64" s="11"/>
      <c r="E64" s="107" t="s">
        <v>735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4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</row>
    <row r="65" spans="1:81" ht="16.149999999999999" customHeight="1">
      <c r="A65" s="3"/>
      <c r="B65" s="3"/>
      <c r="C65" s="4"/>
      <c r="D65" s="11"/>
      <c r="E65" s="107" t="s">
        <v>734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4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</row>
    <row r="66" spans="1:81" ht="16.149999999999999" customHeight="1">
      <c r="A66" s="3"/>
      <c r="B66" s="3"/>
      <c r="C66" s="4"/>
      <c r="D66" s="11"/>
      <c r="E66" s="154"/>
      <c r="F66" s="1"/>
      <c r="G66" s="278" t="s">
        <v>736</v>
      </c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4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</row>
    <row r="67" spans="1:81" ht="16.149999999999999" customHeight="1">
      <c r="A67" s="3"/>
      <c r="B67" s="3"/>
      <c r="C67" s="4"/>
      <c r="D67" s="11" t="s">
        <v>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5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4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</row>
    <row r="68" spans="1:81" ht="16.149999999999999" customHeight="1">
      <c r="A68" s="3"/>
      <c r="B68" s="3"/>
      <c r="C68" s="4"/>
      <c r="D68" s="1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5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4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</row>
    <row r="69" spans="1:81" ht="16.149999999999999" customHeight="1">
      <c r="A69" s="3"/>
      <c r="B69" s="3"/>
      <c r="C69" s="4" t="s">
        <v>50</v>
      </c>
      <c r="D69" s="1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5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4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</row>
    <row r="70" spans="1:81" ht="16.149999999999999" customHeight="1">
      <c r="A70" s="3"/>
      <c r="B70" s="3"/>
      <c r="C70" s="4"/>
      <c r="D70" s="11" t="s">
        <v>214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5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4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</row>
    <row r="71" spans="1:81" ht="16.149999999999999" customHeight="1">
      <c r="A71" s="3"/>
      <c r="B71" s="3"/>
      <c r="C71" s="4"/>
      <c r="D71" s="11" t="s">
        <v>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5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4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</row>
    <row r="72" spans="1:81" ht="16.149999999999999" customHeight="1">
      <c r="A72" s="3"/>
      <c r="B72" s="3"/>
      <c r="C72" s="4"/>
      <c r="D72" s="11" t="s">
        <v>10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4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</row>
    <row r="73" spans="1:81" ht="16.149999999999999" customHeight="1">
      <c r="A73" s="3"/>
      <c r="B73" s="3"/>
      <c r="C73" s="4"/>
      <c r="D73" s="11" t="s">
        <v>11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5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4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</row>
    <row r="74" spans="1:81" ht="16.149999999999999" customHeight="1">
      <c r="A74" s="3"/>
      <c r="B74" s="3"/>
      <c r="C74" s="4"/>
      <c r="D74" s="11"/>
      <c r="E74" s="16" t="s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5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</row>
    <row r="75" spans="1:81" ht="16.149999999999999" customHeight="1">
      <c r="A75" s="3"/>
      <c r="B75" s="3"/>
      <c r="C75" s="4"/>
      <c r="D75" s="11"/>
      <c r="E75" s="16"/>
      <c r="F75" s="1"/>
      <c r="G75" s="1"/>
      <c r="H75" s="1"/>
      <c r="I75" s="1"/>
      <c r="J75" s="1"/>
      <c r="K75" s="1"/>
      <c r="L75" s="1"/>
      <c r="M75" s="1"/>
      <c r="N75" s="1"/>
      <c r="O75" s="1"/>
      <c r="P75" s="5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4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</row>
    <row r="76" spans="1:81" ht="15.6" customHeight="1">
      <c r="A76" s="3"/>
      <c r="B76" s="3"/>
      <c r="C76" s="4" t="s">
        <v>51</v>
      </c>
      <c r="D76" s="11"/>
      <c r="E76" s="16"/>
      <c r="F76" s="1"/>
      <c r="G76" s="1"/>
      <c r="H76" s="1"/>
      <c r="I76" s="1"/>
      <c r="J76" s="1"/>
      <c r="K76" s="1"/>
      <c r="L76" s="1"/>
      <c r="M76" s="1"/>
      <c r="N76" s="1"/>
      <c r="O76" s="1"/>
      <c r="P76" s="5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4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</row>
    <row r="77" spans="1:81" ht="9" customHeight="1">
      <c r="A77" s="3"/>
      <c r="B77" s="3"/>
      <c r="C77" s="4"/>
      <c r="D77" s="11"/>
      <c r="E77" s="16"/>
      <c r="F77" s="1"/>
      <c r="G77" s="1"/>
      <c r="H77" s="1"/>
      <c r="I77" s="1"/>
      <c r="J77" s="1"/>
      <c r="K77" s="1"/>
      <c r="L77" s="1"/>
      <c r="M77" s="1"/>
      <c r="N77" s="1"/>
      <c r="O77" s="1"/>
      <c r="P77" s="5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4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</row>
    <row r="78" spans="1:81" ht="16.149999999999999" customHeight="1">
      <c r="A78" s="3"/>
      <c r="B78" s="3"/>
      <c r="C78" s="4"/>
      <c r="D78" s="45"/>
      <c r="E78" s="46"/>
      <c r="F78" s="46" t="s">
        <v>38</v>
      </c>
      <c r="G78" s="46"/>
      <c r="H78" s="47"/>
      <c r="I78" s="1"/>
      <c r="J78" s="5"/>
      <c r="K78" s="3"/>
      <c r="L78" s="3"/>
      <c r="M78" s="3"/>
      <c r="N78" s="3"/>
      <c r="O78" s="1"/>
      <c r="P78" s="5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1"/>
      <c r="AE78" s="1"/>
      <c r="AF78" s="1"/>
      <c r="AG78" s="1"/>
      <c r="AH78" s="1"/>
      <c r="AI78" s="1"/>
      <c r="AJ78" s="1"/>
      <c r="AK78" s="45"/>
      <c r="AL78" s="46"/>
      <c r="AM78" s="46" t="s">
        <v>23</v>
      </c>
      <c r="AN78" s="46"/>
      <c r="AO78" s="47"/>
      <c r="AP78" s="1"/>
      <c r="AQ78" s="1"/>
      <c r="AR78" s="5"/>
      <c r="AS78" s="3"/>
      <c r="AT78" s="3"/>
      <c r="AU78" s="3"/>
      <c r="AV78" s="3"/>
      <c r="AW78" s="5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</row>
    <row r="79" spans="1:81" ht="16.149999999999999" customHeight="1">
      <c r="A79" s="3"/>
      <c r="B79" s="3"/>
      <c r="C79" s="4"/>
      <c r="D79" s="41"/>
      <c r="E79" s="42"/>
      <c r="F79" s="42" t="s">
        <v>12</v>
      </c>
      <c r="G79" s="42"/>
      <c r="H79" s="43"/>
      <c r="I79" s="42"/>
      <c r="J79" s="42"/>
      <c r="K79" s="42" t="s">
        <v>13</v>
      </c>
      <c r="L79" s="42"/>
      <c r="M79" s="43"/>
      <c r="N79" s="44" t="s">
        <v>24</v>
      </c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3"/>
      <c r="AJ79" s="1"/>
      <c r="AK79" s="41"/>
      <c r="AL79" s="42"/>
      <c r="AM79" s="42" t="s">
        <v>12</v>
      </c>
      <c r="AN79" s="42"/>
      <c r="AO79" s="43"/>
      <c r="AP79" s="235" t="s">
        <v>13</v>
      </c>
      <c r="AQ79" s="236"/>
      <c r="AR79" s="236"/>
      <c r="AS79" s="236"/>
      <c r="AT79" s="236"/>
      <c r="AU79" s="237"/>
      <c r="AV79" s="48" t="s">
        <v>24</v>
      </c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50"/>
      <c r="BY79" s="3"/>
      <c r="BZ79" s="3"/>
      <c r="CA79" s="3"/>
      <c r="CB79" s="3"/>
      <c r="CC79" s="3"/>
    </row>
    <row r="80" spans="1:81" ht="16.149999999999999" customHeight="1">
      <c r="A80" s="3"/>
      <c r="B80" s="3"/>
      <c r="C80" s="4"/>
      <c r="D80" s="51"/>
      <c r="E80" s="52"/>
      <c r="F80" s="53" t="s">
        <v>14</v>
      </c>
      <c r="G80" s="52"/>
      <c r="H80" s="54"/>
      <c r="I80" s="24"/>
      <c r="J80" s="24"/>
      <c r="K80" s="21" t="s">
        <v>16</v>
      </c>
      <c r="L80" s="24"/>
      <c r="M80" s="25"/>
      <c r="N80" s="17" t="s">
        <v>101</v>
      </c>
      <c r="O80" s="18"/>
      <c r="P80" s="18"/>
      <c r="Q80" s="18"/>
      <c r="R80" s="18"/>
      <c r="S80" s="17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20"/>
      <c r="AJ80" s="1"/>
      <c r="AK80" s="238" t="s">
        <v>15</v>
      </c>
      <c r="AL80" s="239"/>
      <c r="AM80" s="239"/>
      <c r="AN80" s="239"/>
      <c r="AO80" s="240"/>
      <c r="AP80" s="247" t="s">
        <v>39</v>
      </c>
      <c r="AQ80" s="248"/>
      <c r="AR80" s="248"/>
      <c r="AS80" s="248"/>
      <c r="AT80" s="248"/>
      <c r="AU80" s="249"/>
      <c r="AV80" s="35" t="s">
        <v>41</v>
      </c>
      <c r="AW80" s="21"/>
      <c r="AX80" s="21"/>
      <c r="AY80" s="21"/>
      <c r="AZ80" s="21"/>
      <c r="BA80" s="55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2"/>
      <c r="BY80" s="3"/>
      <c r="BZ80" s="3"/>
      <c r="CA80" s="3"/>
      <c r="CB80" s="3"/>
      <c r="CC80" s="3"/>
    </row>
    <row r="81" spans="1:81" ht="16.149999999999999" customHeight="1">
      <c r="A81" s="3"/>
      <c r="B81" s="3"/>
      <c r="C81" s="4"/>
      <c r="D81" s="238" t="s">
        <v>15</v>
      </c>
      <c r="E81" s="239"/>
      <c r="F81" s="239"/>
      <c r="G81" s="239"/>
      <c r="H81" s="240"/>
      <c r="I81" s="18"/>
      <c r="J81" s="18"/>
      <c r="K81" s="18" t="s">
        <v>22</v>
      </c>
      <c r="L81" s="18"/>
      <c r="M81" s="20"/>
      <c r="N81" s="32" t="s">
        <v>18</v>
      </c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9"/>
      <c r="AJ81" s="1"/>
      <c r="AK81" s="241"/>
      <c r="AL81" s="242"/>
      <c r="AM81" s="242"/>
      <c r="AN81" s="242"/>
      <c r="AO81" s="243"/>
      <c r="AP81" s="254"/>
      <c r="AQ81" s="255"/>
      <c r="AR81" s="255"/>
      <c r="AS81" s="255"/>
      <c r="AT81" s="255"/>
      <c r="AU81" s="256"/>
      <c r="AV81" s="35" t="s">
        <v>26</v>
      </c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2"/>
      <c r="BY81" s="3"/>
      <c r="BZ81" s="3"/>
      <c r="CA81" s="3"/>
      <c r="CB81" s="3"/>
      <c r="CC81" s="3"/>
    </row>
    <row r="82" spans="1:81" ht="16.149999999999999" customHeight="1">
      <c r="A82" s="3"/>
      <c r="B82" s="3"/>
      <c r="C82" s="4"/>
      <c r="D82" s="241"/>
      <c r="E82" s="242"/>
      <c r="F82" s="242"/>
      <c r="G82" s="242"/>
      <c r="H82" s="243"/>
      <c r="I82" s="19"/>
      <c r="J82" s="31"/>
      <c r="K82" s="26" t="s">
        <v>15</v>
      </c>
      <c r="L82" s="31"/>
      <c r="M82" s="31"/>
      <c r="N82" s="33" t="s">
        <v>34</v>
      </c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7"/>
      <c r="AJ82" s="1"/>
      <c r="AK82" s="241"/>
      <c r="AL82" s="242"/>
      <c r="AM82" s="242"/>
      <c r="AN82" s="242"/>
      <c r="AO82" s="243"/>
      <c r="AP82" s="254"/>
      <c r="AQ82" s="255"/>
      <c r="AR82" s="255"/>
      <c r="AS82" s="255"/>
      <c r="AT82" s="255"/>
      <c r="AU82" s="256"/>
      <c r="AV82" s="35" t="s">
        <v>42</v>
      </c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2"/>
      <c r="BY82" s="3"/>
      <c r="BZ82" s="3"/>
      <c r="CA82" s="3"/>
      <c r="CB82" s="3"/>
      <c r="CC82" s="3"/>
    </row>
    <row r="83" spans="1:81" ht="16.149999999999999" customHeight="1">
      <c r="A83" s="3"/>
      <c r="B83" s="3"/>
      <c r="C83" s="4"/>
      <c r="D83" s="241"/>
      <c r="E83" s="242"/>
      <c r="F83" s="242"/>
      <c r="G83" s="242"/>
      <c r="H83" s="243"/>
      <c r="I83" s="30"/>
      <c r="J83" s="31"/>
      <c r="K83" s="21" t="s">
        <v>17</v>
      </c>
      <c r="L83" s="31"/>
      <c r="M83" s="31"/>
      <c r="N83" s="33" t="s">
        <v>32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7"/>
      <c r="AJ83" s="1"/>
      <c r="AK83" s="241"/>
      <c r="AL83" s="242"/>
      <c r="AM83" s="242"/>
      <c r="AN83" s="242"/>
      <c r="AO83" s="243"/>
      <c r="AP83" s="250"/>
      <c r="AQ83" s="251"/>
      <c r="AR83" s="251"/>
      <c r="AS83" s="251"/>
      <c r="AT83" s="251"/>
      <c r="AU83" s="252"/>
      <c r="AV83" s="36" t="s">
        <v>40</v>
      </c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9"/>
      <c r="BY83" s="3"/>
      <c r="BZ83" s="3"/>
      <c r="CA83" s="3"/>
      <c r="CB83" s="3"/>
      <c r="CC83" s="3"/>
    </row>
    <row r="84" spans="1:81" ht="16.149999999999999" customHeight="1">
      <c r="A84" s="3"/>
      <c r="B84" s="3"/>
      <c r="C84" s="4"/>
      <c r="D84" s="241"/>
      <c r="E84" s="242"/>
      <c r="F84" s="242"/>
      <c r="G84" s="242"/>
      <c r="H84" s="243"/>
      <c r="I84" s="247" t="s">
        <v>33</v>
      </c>
      <c r="J84" s="248"/>
      <c r="K84" s="248"/>
      <c r="L84" s="248"/>
      <c r="M84" s="249"/>
      <c r="N84" s="33" t="s">
        <v>27</v>
      </c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7"/>
      <c r="AJ84" s="1"/>
      <c r="AK84" s="241"/>
      <c r="AL84" s="242"/>
      <c r="AM84" s="242"/>
      <c r="AN84" s="242"/>
      <c r="AO84" s="243"/>
      <c r="AP84" s="247" t="s">
        <v>25</v>
      </c>
      <c r="AQ84" s="248"/>
      <c r="AR84" s="248"/>
      <c r="AS84" s="248"/>
      <c r="AT84" s="248"/>
      <c r="AU84" s="248"/>
      <c r="AV84" s="33" t="s">
        <v>103</v>
      </c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7"/>
      <c r="BY84" s="3"/>
      <c r="BZ84" s="3"/>
      <c r="CA84" s="3"/>
      <c r="CB84" s="3"/>
      <c r="CC84" s="3"/>
    </row>
    <row r="85" spans="1:81" ht="16.149999999999999" customHeight="1">
      <c r="A85" s="3"/>
      <c r="B85" s="3"/>
      <c r="C85" s="4"/>
      <c r="D85" s="244"/>
      <c r="E85" s="245"/>
      <c r="F85" s="245"/>
      <c r="G85" s="245"/>
      <c r="H85" s="246"/>
      <c r="I85" s="250"/>
      <c r="J85" s="251"/>
      <c r="K85" s="251"/>
      <c r="L85" s="251"/>
      <c r="M85" s="252"/>
      <c r="N85" s="34" t="s">
        <v>19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20"/>
      <c r="AJ85" s="1"/>
      <c r="AK85" s="241"/>
      <c r="AL85" s="242"/>
      <c r="AM85" s="242"/>
      <c r="AN85" s="242"/>
      <c r="AO85" s="243"/>
      <c r="AP85" s="254"/>
      <c r="AQ85" s="255"/>
      <c r="AR85" s="255"/>
      <c r="AS85" s="255"/>
      <c r="AT85" s="255"/>
      <c r="AU85" s="255"/>
      <c r="AV85" s="36" t="s">
        <v>102</v>
      </c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9"/>
      <c r="BY85" s="3"/>
      <c r="BZ85" s="3"/>
      <c r="CA85" s="3"/>
      <c r="CB85" s="3"/>
      <c r="CC85" s="3"/>
    </row>
    <row r="86" spans="1:81" ht="16.149999999999999" customHeight="1">
      <c r="A86" s="3"/>
      <c r="B86" s="3"/>
      <c r="C86" s="4"/>
      <c r="D86" s="238" t="s">
        <v>21</v>
      </c>
      <c r="E86" s="239"/>
      <c r="F86" s="239"/>
      <c r="G86" s="239"/>
      <c r="H86" s="240"/>
      <c r="I86" s="247" t="s">
        <v>17</v>
      </c>
      <c r="J86" s="248"/>
      <c r="K86" s="248"/>
      <c r="L86" s="248"/>
      <c r="M86" s="249"/>
      <c r="N86" s="33" t="s">
        <v>35</v>
      </c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7"/>
      <c r="AJ86" s="1"/>
      <c r="AK86" s="241"/>
      <c r="AL86" s="242"/>
      <c r="AM86" s="242"/>
      <c r="AN86" s="242"/>
      <c r="AO86" s="243"/>
      <c r="AP86" s="254"/>
      <c r="AQ86" s="255"/>
      <c r="AR86" s="255"/>
      <c r="AS86" s="255"/>
      <c r="AT86" s="255"/>
      <c r="AU86" s="255"/>
      <c r="AV86" s="36" t="s">
        <v>28</v>
      </c>
      <c r="AW86" s="32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9"/>
      <c r="BY86" s="3"/>
      <c r="BZ86" s="3"/>
      <c r="CA86" s="3"/>
      <c r="CB86" s="3"/>
      <c r="CC86" s="3"/>
    </row>
    <row r="87" spans="1:81" ht="16.149999999999999" customHeight="1">
      <c r="A87" s="3"/>
      <c r="B87" s="3"/>
      <c r="C87" s="4"/>
      <c r="D87" s="241"/>
      <c r="E87" s="242"/>
      <c r="F87" s="242"/>
      <c r="G87" s="242"/>
      <c r="H87" s="243"/>
      <c r="I87" s="250"/>
      <c r="J87" s="251"/>
      <c r="K87" s="251"/>
      <c r="L87" s="251"/>
      <c r="M87" s="252"/>
      <c r="N87" s="34" t="s">
        <v>20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20"/>
      <c r="AJ87" s="1"/>
      <c r="AK87" s="241"/>
      <c r="AL87" s="242"/>
      <c r="AM87" s="242"/>
      <c r="AN87" s="242"/>
      <c r="AO87" s="243"/>
      <c r="AP87" s="254"/>
      <c r="AQ87" s="255"/>
      <c r="AR87" s="255"/>
      <c r="AS87" s="255"/>
      <c r="AT87" s="255"/>
      <c r="AU87" s="255"/>
      <c r="AV87" s="36"/>
      <c r="AW87" s="32" t="s">
        <v>43</v>
      </c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9"/>
      <c r="BY87" s="3"/>
      <c r="BZ87" s="3"/>
      <c r="CA87" s="3"/>
      <c r="CB87" s="3"/>
      <c r="CC87" s="3"/>
    </row>
    <row r="88" spans="1:81" ht="16.149999999999999" customHeight="1">
      <c r="A88" s="3"/>
      <c r="B88" s="3"/>
      <c r="C88" s="4"/>
      <c r="D88" s="244"/>
      <c r="E88" s="245"/>
      <c r="F88" s="245"/>
      <c r="G88" s="245"/>
      <c r="H88" s="246"/>
      <c r="I88" s="23"/>
      <c r="J88" s="24"/>
      <c r="K88" s="21" t="s">
        <v>36</v>
      </c>
      <c r="L88" s="24"/>
      <c r="M88" s="24"/>
      <c r="N88" s="35" t="s">
        <v>37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2"/>
      <c r="AJ88" s="3"/>
      <c r="AK88" s="244"/>
      <c r="AL88" s="245"/>
      <c r="AM88" s="245"/>
      <c r="AN88" s="245"/>
      <c r="AO88" s="246"/>
      <c r="AP88" s="250"/>
      <c r="AQ88" s="251"/>
      <c r="AR88" s="251"/>
      <c r="AS88" s="251"/>
      <c r="AT88" s="251"/>
      <c r="AU88" s="251"/>
      <c r="AV88" s="34"/>
      <c r="AW88" s="17" t="s">
        <v>29</v>
      </c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20"/>
      <c r="BY88" s="3"/>
      <c r="BZ88" s="3"/>
      <c r="CA88" s="3"/>
      <c r="CB88" s="3"/>
      <c r="CC88" s="3"/>
    </row>
    <row r="89" spans="1:81" ht="19.149999999999999" customHeight="1">
      <c r="A89" s="3"/>
      <c r="B89" s="3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</row>
    <row r="90" spans="1:81" ht="19.149999999999999" customHeight="1">
      <c r="A90" s="3"/>
      <c r="B90" s="3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</row>
    <row r="91" spans="1:81" ht="19.149999999999999" customHeight="1">
      <c r="A91" s="3"/>
      <c r="B91" s="3"/>
      <c r="C91" s="4" t="s">
        <v>52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</row>
    <row r="92" spans="1:81" ht="16.149999999999999" customHeight="1">
      <c r="A92" s="3"/>
      <c r="B92" s="3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5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4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</row>
    <row r="93" spans="1:81" ht="16.149999999999999" customHeight="1">
      <c r="A93" s="3"/>
      <c r="B93" s="3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5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4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</row>
    <row r="94" spans="1:81" ht="16.149999999999999" customHeight="1">
      <c r="A94" s="3"/>
      <c r="B94" s="3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5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4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</row>
    <row r="95" spans="1:81" ht="16.149999999999999" customHeight="1">
      <c r="A95" s="3"/>
      <c r="B95" s="3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5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4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</row>
    <row r="96" spans="1:81" ht="16.149999999999999" customHeight="1">
      <c r="A96" s="3"/>
      <c r="B96" s="3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5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4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</row>
    <row r="97" spans="1:81" ht="16.149999999999999" customHeight="1">
      <c r="A97" s="3"/>
      <c r="B97" s="3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5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4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</row>
    <row r="98" spans="1:81" ht="16.149999999999999" customHeight="1">
      <c r="A98" s="3"/>
      <c r="B98" s="3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5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4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</row>
    <row r="99" spans="1:81" ht="16.149999999999999" customHeight="1">
      <c r="A99" s="3"/>
      <c r="B99" s="3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5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4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</row>
    <row r="100" spans="1:81" ht="16.149999999999999" customHeight="1">
      <c r="A100" s="3"/>
      <c r="B100" s="3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5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4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</row>
    <row r="101" spans="1:81" ht="16.149999999999999" customHeight="1">
      <c r="A101" s="3"/>
      <c r="B101" s="3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5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4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</row>
    <row r="102" spans="1:81" ht="16.149999999999999" customHeight="1">
      <c r="A102" s="3"/>
      <c r="B102" s="3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5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4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</row>
    <row r="103" spans="1:81" ht="16.149999999999999" customHeight="1">
      <c r="A103" s="3"/>
      <c r="B103" s="3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5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4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</row>
    <row r="104" spans="1:81" ht="15.6" customHeight="1">
      <c r="A104" s="3"/>
      <c r="B104" s="3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5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4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1:81" ht="16.149999999999999" customHeight="1">
      <c r="A105" s="3"/>
      <c r="B105" s="3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5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4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</row>
    <row r="106" spans="1:81" ht="16.149999999999999" customHeight="1">
      <c r="A106" s="3"/>
      <c r="B106" s="3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5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4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</row>
    <row r="107" spans="1:81" ht="16.149999999999999" customHeight="1">
      <c r="A107" s="3"/>
      <c r="B107" s="3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5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4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</row>
    <row r="108" spans="1:81" ht="16.149999999999999" customHeight="1">
      <c r="A108" s="3"/>
      <c r="B108" s="3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5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4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</row>
    <row r="109" spans="1:81" ht="16.149999999999999" customHeight="1">
      <c r="A109" s="3"/>
      <c r="B109" s="3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5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4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</row>
    <row r="110" spans="1:81" ht="16.149999999999999" customHeight="1">
      <c r="A110" s="3"/>
      <c r="B110" s="3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5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4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1:81" ht="16.149999999999999" customHeight="1">
      <c r="A111" s="3"/>
      <c r="B111" s="3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5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4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</row>
    <row r="112" spans="1:81" ht="16.149999999999999" customHeight="1">
      <c r="A112" s="3"/>
      <c r="B112" s="3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5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4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1:81" ht="16.149999999999999" customHeight="1">
      <c r="A113" s="3"/>
      <c r="B113" s="3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5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4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</row>
    <row r="114" spans="1:81" ht="16.149999999999999" customHeight="1">
      <c r="A114" s="3"/>
      <c r="B114" s="3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5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4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</row>
    <row r="115" spans="1:81" ht="16.149999999999999" customHeight="1">
      <c r="A115" s="3"/>
      <c r="B115" s="3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5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4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</row>
    <row r="116" spans="1:81" ht="16.149999999999999" customHeight="1">
      <c r="A116" s="3"/>
      <c r="B116" s="3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5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4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</row>
    <row r="117" spans="1:81" ht="16.149999999999999" customHeight="1">
      <c r="A117" s="3"/>
      <c r="B117" s="3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5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4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</row>
    <row r="118" spans="1:81" ht="16.149999999999999" customHeight="1">
      <c r="A118" s="3"/>
      <c r="B118" s="3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5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4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 spans="1:81" ht="16.149999999999999" customHeight="1">
      <c r="A119" s="3"/>
      <c r="B119" s="3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5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4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</row>
    <row r="120" spans="1:81" ht="16.149999999999999" customHeight="1">
      <c r="A120" s="3"/>
      <c r="B120" s="3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5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4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 spans="1:81" ht="16.149999999999999" customHeight="1">
      <c r="A121" s="3"/>
      <c r="B121" s="3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5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4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</row>
    <row r="122" spans="1:81" ht="16.149999999999999" customHeight="1">
      <c r="A122" s="3"/>
      <c r="B122" s="3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5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4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</row>
    <row r="123" spans="1:81" ht="16.149999999999999" customHeight="1">
      <c r="A123" s="3"/>
      <c r="B123" s="3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5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4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</row>
    <row r="124" spans="1:81" ht="16.149999999999999" customHeight="1">
      <c r="A124" s="3"/>
      <c r="B124" s="3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5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4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</row>
    <row r="125" spans="1:81" ht="16.149999999999999" customHeight="1">
      <c r="A125" s="3"/>
      <c r="B125" s="3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5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4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</row>
    <row r="126" spans="1:81" ht="16.149999999999999" customHeight="1">
      <c r="A126" s="3"/>
      <c r="B126" s="3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4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</row>
    <row r="127" spans="1:81" ht="16.149999999999999" customHeight="1">
      <c r="A127" s="3"/>
      <c r="B127" s="3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5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4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</row>
    <row r="128" spans="1:81" ht="16.149999999999999" customHeight="1">
      <c r="A128" s="3"/>
      <c r="B128" s="3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5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4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</row>
    <row r="129" spans="1:81" ht="16.149999999999999" customHeight="1">
      <c r="A129" s="3"/>
      <c r="B129" s="3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5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4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</row>
    <row r="130" spans="1:81" ht="16.149999999999999" customHeight="1">
      <c r="A130" s="3"/>
      <c r="B130" s="3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5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4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 spans="1:81" ht="16.149999999999999" customHeight="1">
      <c r="A131" s="3"/>
      <c r="B131" s="3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5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4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</row>
    <row r="132" spans="1:81" ht="16.149999999999999" customHeight="1">
      <c r="A132" s="3"/>
      <c r="B132" s="3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5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4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1:81" ht="16.149999999999999" customHeight="1">
      <c r="A133" s="3"/>
      <c r="B133" s="3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5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4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</row>
    <row r="134" spans="1:81" ht="16.149999999999999" customHeight="1">
      <c r="A134" s="3"/>
      <c r="B134" s="3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5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4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</row>
    <row r="135" spans="1:81" ht="16.149999999999999" customHeight="1">
      <c r="A135" s="3"/>
      <c r="B135" s="3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5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4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</row>
    <row r="136" spans="1:81" ht="16.149999999999999" customHeight="1">
      <c r="A136" s="3"/>
      <c r="B136" s="3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5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4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</row>
    <row r="137" spans="1:81" ht="16.149999999999999" customHeight="1">
      <c r="A137" s="3"/>
      <c r="B137" s="3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5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4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</row>
    <row r="138" spans="1:81" ht="16.149999999999999" customHeight="1">
      <c r="A138" s="3"/>
      <c r="B138" s="3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5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4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spans="1:81" ht="16.149999999999999" customHeight="1">
      <c r="A139" s="3"/>
      <c r="B139" s="3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5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4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</row>
    <row r="140" spans="1:81" ht="16.149999999999999" customHeight="1">
      <c r="A140" s="3"/>
      <c r="B140" s="3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5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4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</row>
    <row r="141" spans="1:81" ht="16.149999999999999" customHeight="1">
      <c r="A141" s="3"/>
      <c r="B141" s="3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5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4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</row>
    <row r="142" spans="1:81" ht="16.149999999999999" customHeight="1">
      <c r="A142" s="3"/>
      <c r="B142" s="3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5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4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</row>
    <row r="143" spans="1:81" ht="16.149999999999999" customHeight="1">
      <c r="A143" s="3"/>
      <c r="B143" s="3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5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4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</row>
    <row r="144" spans="1:81" ht="16.149999999999999" customHeight="1">
      <c r="A144" s="3"/>
      <c r="B144" s="3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5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4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</row>
    <row r="145" spans="1:81" ht="16.149999999999999" customHeight="1">
      <c r="A145" s="3"/>
      <c r="B145" s="3"/>
      <c r="C145" s="4" t="s">
        <v>53</v>
      </c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5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4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</row>
    <row r="146" spans="1:81" ht="9" customHeight="1">
      <c r="A146" s="3"/>
      <c r="B146" s="3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5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4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</row>
    <row r="147" spans="1:81" ht="16.149999999999999" customHeight="1">
      <c r="A147" s="3"/>
      <c r="B147" s="3"/>
      <c r="C147" s="4"/>
      <c r="D147" s="45"/>
      <c r="E147" s="46"/>
      <c r="F147" s="46" t="s">
        <v>54</v>
      </c>
      <c r="G147" s="46"/>
      <c r="H147" s="47"/>
      <c r="I147" s="1"/>
      <c r="J147" s="5"/>
      <c r="K147" s="3"/>
      <c r="L147" s="3"/>
      <c r="M147" s="3"/>
      <c r="N147" s="3"/>
      <c r="O147" s="1"/>
      <c r="P147" s="5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1"/>
      <c r="AE147" s="1"/>
      <c r="AF147" s="1"/>
      <c r="AG147" s="1"/>
      <c r="AH147" s="1"/>
      <c r="AI147" s="1"/>
      <c r="AJ147" s="3"/>
      <c r="AK147" s="3"/>
      <c r="AL147" s="45"/>
      <c r="AM147" s="46"/>
      <c r="AN147" s="46" t="s">
        <v>23</v>
      </c>
      <c r="AO147" s="46"/>
      <c r="AP147" s="47"/>
      <c r="AQ147" s="1"/>
      <c r="AR147" s="1"/>
      <c r="AS147" s="5"/>
      <c r="AT147" s="3"/>
      <c r="AU147" s="3"/>
      <c r="AV147" s="3"/>
      <c r="AW147" s="3"/>
      <c r="AX147" s="5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</row>
    <row r="148" spans="1:81" ht="16.149999999999999" customHeight="1">
      <c r="A148" s="3"/>
      <c r="B148" s="3"/>
      <c r="C148" s="4"/>
      <c r="D148" s="41"/>
      <c r="E148" s="42"/>
      <c r="F148" s="42" t="s">
        <v>12</v>
      </c>
      <c r="G148" s="42"/>
      <c r="H148" s="43"/>
      <c r="I148" s="42"/>
      <c r="J148" s="42"/>
      <c r="K148" s="42" t="s">
        <v>13</v>
      </c>
      <c r="L148" s="42"/>
      <c r="M148" s="43"/>
      <c r="N148" s="44" t="s">
        <v>24</v>
      </c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3"/>
      <c r="AK148" s="3"/>
      <c r="AL148" s="41"/>
      <c r="AM148" s="42"/>
      <c r="AN148" s="42" t="s">
        <v>12</v>
      </c>
      <c r="AO148" s="42"/>
      <c r="AP148" s="43"/>
      <c r="AQ148" s="235" t="s">
        <v>13</v>
      </c>
      <c r="AR148" s="236"/>
      <c r="AS148" s="236"/>
      <c r="AT148" s="236"/>
      <c r="AU148" s="236"/>
      <c r="AV148" s="237"/>
      <c r="AW148" s="48" t="s">
        <v>24</v>
      </c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50"/>
      <c r="CB148" s="3"/>
      <c r="CC148" s="3"/>
    </row>
    <row r="149" spans="1:81" ht="16.149999999999999" customHeight="1">
      <c r="A149" s="3"/>
      <c r="B149" s="3"/>
      <c r="C149" s="4"/>
      <c r="D149" s="51"/>
      <c r="E149" s="52"/>
      <c r="F149" s="53" t="s">
        <v>14</v>
      </c>
      <c r="G149" s="52"/>
      <c r="H149" s="54"/>
      <c r="I149" s="24"/>
      <c r="J149" s="24"/>
      <c r="K149" s="21" t="s">
        <v>16</v>
      </c>
      <c r="L149" s="24"/>
      <c r="M149" s="25"/>
      <c r="N149" s="17" t="s">
        <v>55</v>
      </c>
      <c r="O149" s="18"/>
      <c r="P149" s="18"/>
      <c r="Q149" s="18"/>
      <c r="R149" s="18"/>
      <c r="S149" s="17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20"/>
      <c r="AK149" s="3"/>
      <c r="AL149" s="238" t="s">
        <v>67</v>
      </c>
      <c r="AM149" s="239"/>
      <c r="AN149" s="239"/>
      <c r="AO149" s="239"/>
      <c r="AP149" s="240"/>
      <c r="AQ149" s="247" t="s">
        <v>68</v>
      </c>
      <c r="AR149" s="248"/>
      <c r="AS149" s="248"/>
      <c r="AT149" s="248"/>
      <c r="AU149" s="248"/>
      <c r="AV149" s="249"/>
      <c r="AW149" s="33" t="s">
        <v>733</v>
      </c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7"/>
      <c r="CB149" s="3"/>
      <c r="CC149" s="3"/>
    </row>
    <row r="150" spans="1:81" ht="16.149999999999999" customHeight="1">
      <c r="A150" s="3"/>
      <c r="B150" s="3"/>
      <c r="C150" s="4"/>
      <c r="D150" s="238" t="s">
        <v>67</v>
      </c>
      <c r="E150" s="239"/>
      <c r="F150" s="239"/>
      <c r="G150" s="239"/>
      <c r="H150" s="240"/>
      <c r="I150" s="18"/>
      <c r="J150" s="18"/>
      <c r="K150" s="18" t="s">
        <v>22</v>
      </c>
      <c r="L150" s="18"/>
      <c r="M150" s="20"/>
      <c r="N150" s="32" t="s">
        <v>56</v>
      </c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9"/>
      <c r="AK150" s="3"/>
      <c r="AL150" s="241"/>
      <c r="AM150" s="242"/>
      <c r="AN150" s="242"/>
      <c r="AO150" s="242"/>
      <c r="AP150" s="243"/>
      <c r="AQ150" s="250"/>
      <c r="AR150" s="251"/>
      <c r="AS150" s="251"/>
      <c r="AT150" s="251"/>
      <c r="AU150" s="251"/>
      <c r="AV150" s="252"/>
      <c r="AW150" s="34" t="s">
        <v>219</v>
      </c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20"/>
      <c r="CB150" s="3"/>
      <c r="CC150" s="3"/>
    </row>
    <row r="151" spans="1:81" ht="16.149999999999999" customHeight="1">
      <c r="A151" s="3"/>
      <c r="B151" s="3"/>
      <c r="C151" s="4"/>
      <c r="D151" s="241"/>
      <c r="E151" s="242"/>
      <c r="F151" s="242"/>
      <c r="G151" s="242"/>
      <c r="H151" s="243"/>
      <c r="I151" s="247" t="s">
        <v>57</v>
      </c>
      <c r="J151" s="248"/>
      <c r="K151" s="248"/>
      <c r="L151" s="248"/>
      <c r="M151" s="249"/>
      <c r="N151" s="33" t="s">
        <v>58</v>
      </c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7"/>
      <c r="AK151" s="3"/>
      <c r="AL151" s="241"/>
      <c r="AM151" s="242"/>
      <c r="AN151" s="242"/>
      <c r="AO151" s="242"/>
      <c r="AP151" s="243"/>
      <c r="AQ151" s="247" t="s">
        <v>69</v>
      </c>
      <c r="AR151" s="248"/>
      <c r="AS151" s="248"/>
      <c r="AT151" s="248"/>
      <c r="AU151" s="248"/>
      <c r="AV151" s="249"/>
      <c r="AW151" s="35" t="s">
        <v>71</v>
      </c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2"/>
      <c r="CB151" s="3"/>
      <c r="CC151" s="3"/>
    </row>
    <row r="152" spans="1:81" ht="16.149999999999999" customHeight="1">
      <c r="A152" s="3"/>
      <c r="B152" s="3"/>
      <c r="C152" s="4"/>
      <c r="D152" s="241"/>
      <c r="E152" s="242"/>
      <c r="F152" s="242"/>
      <c r="G152" s="242"/>
      <c r="H152" s="243"/>
      <c r="I152" s="250"/>
      <c r="J152" s="251"/>
      <c r="K152" s="251"/>
      <c r="L152" s="251"/>
      <c r="M152" s="252"/>
      <c r="N152" s="36" t="s">
        <v>221</v>
      </c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9"/>
      <c r="AK152" s="3"/>
      <c r="AL152" s="244"/>
      <c r="AM152" s="245"/>
      <c r="AN152" s="245"/>
      <c r="AO152" s="245"/>
      <c r="AP152" s="246"/>
      <c r="AQ152" s="250"/>
      <c r="AR152" s="251"/>
      <c r="AS152" s="251"/>
      <c r="AT152" s="251"/>
      <c r="AU152" s="251"/>
      <c r="AV152" s="252"/>
      <c r="AW152" s="34" t="s">
        <v>220</v>
      </c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20"/>
      <c r="CB152" s="3"/>
      <c r="CC152" s="3"/>
    </row>
    <row r="153" spans="1:81" ht="16.149999999999999" customHeight="1">
      <c r="A153" s="3"/>
      <c r="B153" s="3"/>
      <c r="C153" s="4"/>
      <c r="D153" s="241"/>
      <c r="E153" s="242"/>
      <c r="F153" s="242"/>
      <c r="G153" s="242"/>
      <c r="H153" s="243"/>
      <c r="I153" s="247" t="s">
        <v>59</v>
      </c>
      <c r="J153" s="248"/>
      <c r="K153" s="248"/>
      <c r="L153" s="248"/>
      <c r="M153" s="249"/>
      <c r="N153" s="33" t="s">
        <v>60</v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7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</row>
    <row r="154" spans="1:81" ht="16.149999999999999" customHeight="1">
      <c r="A154" s="3"/>
      <c r="B154" s="3"/>
      <c r="C154" s="4"/>
      <c r="D154" s="241"/>
      <c r="E154" s="242"/>
      <c r="F154" s="242"/>
      <c r="G154" s="242"/>
      <c r="H154" s="243"/>
      <c r="I154" s="254"/>
      <c r="J154" s="255"/>
      <c r="K154" s="255"/>
      <c r="L154" s="255"/>
      <c r="M154" s="256"/>
      <c r="N154" s="36" t="s">
        <v>218</v>
      </c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9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</row>
    <row r="155" spans="1:81" ht="16.149999999999999" customHeight="1">
      <c r="A155" s="3"/>
      <c r="B155" s="3"/>
      <c r="C155" s="4"/>
      <c r="D155" s="244"/>
      <c r="E155" s="245"/>
      <c r="F155" s="245"/>
      <c r="G155" s="245"/>
      <c r="H155" s="246"/>
      <c r="I155" s="250"/>
      <c r="J155" s="251"/>
      <c r="K155" s="251"/>
      <c r="L155" s="251"/>
      <c r="M155" s="252"/>
      <c r="N155" s="36" t="s">
        <v>74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20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</row>
    <row r="156" spans="1:81" ht="16.149999999999999" customHeight="1">
      <c r="A156" s="3"/>
      <c r="B156" s="3"/>
      <c r="C156" s="4"/>
      <c r="D156" s="238" t="s">
        <v>21</v>
      </c>
      <c r="E156" s="239"/>
      <c r="F156" s="239"/>
      <c r="G156" s="239"/>
      <c r="H156" s="240"/>
      <c r="I156" s="23"/>
      <c r="J156" s="24"/>
      <c r="K156" s="21" t="s">
        <v>61</v>
      </c>
      <c r="L156" s="24"/>
      <c r="M156" s="25"/>
      <c r="N156" s="35" t="s">
        <v>62</v>
      </c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2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1:81" ht="16.149999999999999" customHeight="1">
      <c r="A157" s="3"/>
      <c r="B157" s="3"/>
      <c r="C157" s="4"/>
      <c r="D157" s="241"/>
      <c r="E157" s="242"/>
      <c r="F157" s="242"/>
      <c r="G157" s="242"/>
      <c r="H157" s="243"/>
      <c r="I157" s="23"/>
      <c r="J157" s="24"/>
      <c r="K157" s="21" t="s">
        <v>63</v>
      </c>
      <c r="L157" s="24"/>
      <c r="M157" s="24"/>
      <c r="N157" s="36" t="s">
        <v>64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20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</row>
    <row r="158" spans="1:81" ht="16.149999999999999" customHeight="1">
      <c r="A158" s="3"/>
      <c r="B158" s="3"/>
      <c r="C158" s="4"/>
      <c r="D158" s="244"/>
      <c r="E158" s="245"/>
      <c r="F158" s="245"/>
      <c r="G158" s="245"/>
      <c r="H158" s="246"/>
      <c r="I158" s="23"/>
      <c r="J158" s="24"/>
      <c r="K158" s="21" t="s">
        <v>65</v>
      </c>
      <c r="L158" s="24"/>
      <c r="M158" s="24"/>
      <c r="N158" s="35" t="s">
        <v>66</v>
      </c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2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1:81" ht="16.149999999999999" customHeight="1">
      <c r="A159" s="3"/>
      <c r="B159" s="3"/>
      <c r="C159" s="4"/>
      <c r="D159" s="3"/>
      <c r="E159" s="4"/>
      <c r="F159" s="11"/>
      <c r="G159" s="1"/>
      <c r="H159" s="1"/>
      <c r="I159" s="1"/>
      <c r="J159" s="1"/>
      <c r="K159" s="1"/>
      <c r="L159" s="1"/>
      <c r="M159" s="1"/>
      <c r="N159" s="1"/>
      <c r="O159" s="1"/>
      <c r="P159" s="5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4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</row>
    <row r="160" spans="1:81" ht="16.149999999999999" customHeight="1">
      <c r="A160" s="3"/>
      <c r="B160" s="3"/>
      <c r="C160" s="4"/>
      <c r="D160" s="3"/>
      <c r="E160" s="4"/>
      <c r="F160" s="11"/>
      <c r="G160" s="1"/>
      <c r="H160" s="1"/>
      <c r="I160" s="1"/>
      <c r="J160" s="1"/>
      <c r="K160" s="1"/>
      <c r="L160" s="1"/>
      <c r="M160" s="1"/>
      <c r="N160" s="1"/>
      <c r="O160" s="1"/>
      <c r="P160" s="5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4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</row>
    <row r="161" spans="1:81" ht="16.149999999999999" customHeight="1">
      <c r="A161" s="3"/>
      <c r="B161" s="3"/>
      <c r="C161" s="4" t="s">
        <v>70</v>
      </c>
      <c r="D161" s="1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5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4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</row>
    <row r="162" spans="1:81" ht="9" customHeight="1">
      <c r="A162" s="3"/>
      <c r="B162" s="3"/>
      <c r="C162" s="4"/>
      <c r="D162" s="1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5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4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 spans="1:81" ht="16.149999999999999" customHeight="1">
      <c r="A163" s="3"/>
      <c r="B163" s="3"/>
      <c r="C163" s="4"/>
      <c r="D163" s="1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5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4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</row>
    <row r="164" spans="1:81" ht="16.149999999999999" customHeight="1">
      <c r="A164" s="3"/>
      <c r="B164" s="3"/>
      <c r="C164" s="4"/>
      <c r="D164" s="1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5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4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</row>
    <row r="165" spans="1:81" ht="16.149999999999999" customHeight="1">
      <c r="A165" s="3"/>
      <c r="B165" s="3"/>
      <c r="C165" s="4"/>
      <c r="D165" s="1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5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4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</row>
    <row r="166" spans="1:81" ht="16.149999999999999" customHeight="1">
      <c r="A166" s="3"/>
      <c r="B166" s="3"/>
      <c r="C166" s="4"/>
      <c r="D166" s="1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5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4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</row>
    <row r="167" spans="1:81" ht="16.149999999999999" customHeight="1">
      <c r="A167" s="3"/>
      <c r="B167" s="3"/>
      <c r="C167" s="4"/>
      <c r="D167" s="1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5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4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</row>
    <row r="168" spans="1:81" ht="16.149999999999999" customHeight="1">
      <c r="A168" s="3"/>
      <c r="B168" s="3"/>
      <c r="C168" s="4"/>
      <c r="D168" s="1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5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4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 spans="1:81" ht="16.149999999999999" customHeight="1">
      <c r="A169" s="3"/>
      <c r="B169" s="3"/>
      <c r="C169" s="4"/>
      <c r="D169" s="1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5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4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</row>
    <row r="170" spans="1:81" ht="16.149999999999999" customHeight="1">
      <c r="A170" s="3"/>
      <c r="B170" s="3"/>
      <c r="C170" s="4"/>
      <c r="D170" s="1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5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4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 spans="1:81" ht="16.149999999999999" customHeight="1">
      <c r="A171" s="3"/>
      <c r="B171" s="3"/>
      <c r="C171" s="4"/>
      <c r="D171" s="1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5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4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</row>
    <row r="172" spans="1:81" ht="16.149999999999999" customHeight="1">
      <c r="A172" s="3"/>
      <c r="B172" s="3"/>
      <c r="C172" s="4"/>
      <c r="D172" s="1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5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4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 spans="1:81" ht="16.149999999999999" customHeight="1">
      <c r="A173" s="3"/>
      <c r="B173" s="3"/>
      <c r="C173" s="4"/>
      <c r="D173" s="1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5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4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</row>
    <row r="174" spans="1:81" ht="16.149999999999999" customHeight="1">
      <c r="A174" s="3"/>
      <c r="B174" s="3"/>
      <c r="C174" s="4"/>
      <c r="D174" s="1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5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4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  <row r="175" spans="1:81" ht="16.149999999999999" customHeight="1">
      <c r="A175" s="3"/>
      <c r="B175" s="3"/>
      <c r="C175" s="4"/>
      <c r="D175" s="1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5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4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</row>
    <row r="176" spans="1:81" ht="16.149999999999999" customHeight="1">
      <c r="A176" s="3"/>
      <c r="B176" s="3"/>
      <c r="C176" s="4"/>
      <c r="D176" s="1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5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4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</row>
    <row r="177" spans="1:81" ht="16.149999999999999" customHeight="1">
      <c r="A177" s="3"/>
      <c r="B177" s="3"/>
      <c r="C177" s="4"/>
      <c r="D177" s="1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5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4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</row>
    <row r="178" spans="1:81" ht="16.149999999999999" customHeight="1">
      <c r="A178" s="3"/>
      <c r="B178" s="3"/>
      <c r="C178" s="4"/>
      <c r="D178" s="1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5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4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</row>
    <row r="179" spans="1:81" ht="16.149999999999999" customHeight="1">
      <c r="A179" s="3"/>
      <c r="B179" s="3"/>
      <c r="C179" s="4"/>
      <c r="D179" s="1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5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4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</row>
    <row r="180" spans="1:81" ht="16.149999999999999" customHeight="1">
      <c r="A180" s="3"/>
      <c r="B180" s="3"/>
      <c r="C180" s="4"/>
      <c r="D180" s="1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5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4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</row>
    <row r="181" spans="1:81" ht="16.149999999999999" customHeight="1">
      <c r="A181" s="3"/>
      <c r="B181" s="3"/>
      <c r="C181" s="4"/>
      <c r="D181" s="1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5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4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</row>
    <row r="182" spans="1:81" ht="16.149999999999999" customHeight="1">
      <c r="A182" s="3"/>
      <c r="B182" s="3"/>
      <c r="C182" s="4"/>
      <c r="D182" s="1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5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4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</row>
    <row r="183" spans="1:81" ht="16.149999999999999" customHeight="1">
      <c r="A183" s="3"/>
      <c r="B183" s="3"/>
      <c r="C183" s="4"/>
      <c r="D183" s="1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5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4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</row>
    <row r="184" spans="1:81" ht="16.149999999999999" customHeight="1">
      <c r="A184" s="3"/>
      <c r="B184" s="3"/>
      <c r="C184" s="4"/>
      <c r="D184" s="1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5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4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</row>
    <row r="185" spans="1:81" ht="16.149999999999999" customHeight="1">
      <c r="A185" s="3"/>
      <c r="B185" s="3"/>
      <c r="C185" s="4"/>
      <c r="D185" s="1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5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4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</row>
    <row r="186" spans="1:81" ht="16.149999999999999" customHeight="1">
      <c r="A186" s="3"/>
      <c r="B186" s="3"/>
      <c r="C186" s="4"/>
      <c r="D186" s="1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5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4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</row>
    <row r="187" spans="1:81" ht="16.149999999999999" customHeight="1">
      <c r="A187" s="3"/>
      <c r="B187" s="3"/>
      <c r="C187" s="4"/>
      <c r="D187" s="1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5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4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</row>
    <row r="188" spans="1:81" ht="16.149999999999999" customHeight="1">
      <c r="A188" s="3"/>
      <c r="B188" s="3"/>
      <c r="C188" s="4"/>
      <c r="D188" s="1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5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4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</row>
    <row r="189" spans="1:81" ht="16.149999999999999" customHeight="1">
      <c r="A189" s="3"/>
      <c r="B189" s="3"/>
      <c r="C189" s="4"/>
      <c r="D189" s="1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5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4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</row>
    <row r="190" spans="1:81" ht="16.149999999999999" customHeight="1">
      <c r="A190" s="3"/>
      <c r="B190" s="3"/>
      <c r="C190" s="4"/>
      <c r="D190" s="1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5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4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</row>
    <row r="191" spans="1:81" ht="16.149999999999999" customHeight="1">
      <c r="A191" s="3"/>
      <c r="B191" s="3"/>
      <c r="C191" s="4"/>
      <c r="D191" s="1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5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4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</row>
    <row r="192" spans="1:81" ht="16.149999999999999" customHeight="1">
      <c r="A192" s="3"/>
      <c r="B192" s="3"/>
      <c r="C192" s="4"/>
      <c r="D192" s="1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5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4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</row>
    <row r="193" spans="1:81" ht="16.149999999999999" customHeight="1">
      <c r="A193" s="3"/>
      <c r="B193" s="3"/>
      <c r="C193" s="4"/>
      <c r="D193" s="1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5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4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</row>
    <row r="194" spans="1:81" ht="16.149999999999999" customHeight="1">
      <c r="A194" s="3"/>
      <c r="B194" s="3"/>
      <c r="C194" s="4"/>
      <c r="D194" s="1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5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4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</row>
    <row r="195" spans="1:81" ht="16.149999999999999" customHeight="1">
      <c r="A195" s="3"/>
      <c r="B195" s="3"/>
      <c r="C195" s="4"/>
      <c r="D195" s="1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5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4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</row>
    <row r="196" spans="1:81" ht="16.149999999999999" customHeight="1">
      <c r="A196" s="3"/>
      <c r="B196" s="3"/>
      <c r="C196" s="4"/>
      <c r="D196" s="1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5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4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</row>
    <row r="197" spans="1:81" ht="16.149999999999999" customHeight="1">
      <c r="A197" s="3"/>
      <c r="B197" s="3"/>
      <c r="C197" s="4"/>
      <c r="D197" s="1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5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4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</row>
    <row r="198" spans="1:81" ht="16.149999999999999" customHeight="1">
      <c r="A198" s="3"/>
      <c r="B198" s="3"/>
      <c r="C198" s="4"/>
      <c r="D198" s="1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5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4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</row>
    <row r="199" spans="1:81" ht="16.149999999999999" customHeight="1">
      <c r="A199" s="3"/>
      <c r="B199" s="3"/>
      <c r="C199" s="4"/>
      <c r="D199" s="1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5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4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</row>
    <row r="200" spans="1:81" ht="16.149999999999999" customHeight="1">
      <c r="A200" s="3"/>
      <c r="B200" s="3"/>
      <c r="C200" s="4"/>
      <c r="D200" s="1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5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4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</row>
    <row r="201" spans="1:81" ht="16.149999999999999" customHeight="1">
      <c r="A201" s="3"/>
      <c r="B201" s="3"/>
      <c r="C201" s="4"/>
      <c r="D201" s="1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5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4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</row>
    <row r="202" spans="1:81" ht="16.149999999999999" customHeight="1">
      <c r="A202" s="3"/>
      <c r="B202" s="3"/>
      <c r="C202" s="4"/>
      <c r="D202" s="1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5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4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</row>
    <row r="203" spans="1:81" ht="16.149999999999999" customHeight="1">
      <c r="A203" s="3"/>
      <c r="B203" s="3"/>
      <c r="C203" s="4"/>
      <c r="D203" s="1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5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4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</row>
    <row r="204" spans="1:81" ht="16.149999999999999" customHeight="1">
      <c r="A204" s="3"/>
      <c r="B204" s="3"/>
      <c r="C204" s="4"/>
      <c r="D204" s="1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5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4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</row>
    <row r="205" spans="1:81" ht="16.149999999999999" customHeight="1">
      <c r="A205" s="3"/>
      <c r="B205" s="3"/>
      <c r="C205" s="4"/>
      <c r="D205" s="1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5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4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</row>
    <row r="206" spans="1:81" ht="16.149999999999999" customHeight="1">
      <c r="A206" s="3"/>
      <c r="B206" s="3"/>
      <c r="C206" s="4"/>
      <c r="D206" s="1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5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4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</row>
    <row r="207" spans="1:81" ht="16.149999999999999" customHeight="1">
      <c r="A207" s="3"/>
      <c r="B207" s="3"/>
      <c r="C207" s="4"/>
      <c r="D207" s="1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5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4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</row>
    <row r="208" spans="1:81" ht="16.149999999999999" customHeight="1">
      <c r="A208" s="3"/>
      <c r="B208" s="3"/>
      <c r="C208" s="4"/>
      <c r="D208" s="1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5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4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</row>
    <row r="209" spans="1:81" ht="16.149999999999999" customHeight="1">
      <c r="A209" s="3"/>
      <c r="B209" s="3"/>
      <c r="C209" s="4"/>
      <c r="D209" s="1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5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4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</row>
    <row r="210" spans="1:81" ht="16.149999999999999" customHeight="1">
      <c r="A210" s="3"/>
      <c r="B210" s="3"/>
      <c r="C210" s="4"/>
      <c r="D210" s="1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5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4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</row>
    <row r="211" spans="1:81" ht="16.149999999999999" customHeight="1">
      <c r="A211" s="3"/>
      <c r="B211" s="3"/>
      <c r="C211" s="4"/>
      <c r="D211" s="1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5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4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</row>
    <row r="212" spans="1:81" ht="16.149999999999999" customHeight="1">
      <c r="A212" s="3"/>
      <c r="B212" s="3"/>
      <c r="C212" s="4"/>
      <c r="D212" s="1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5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4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</row>
    <row r="213" spans="1:81" ht="16.149999999999999" customHeight="1">
      <c r="A213" s="3"/>
      <c r="B213" s="3"/>
      <c r="C213" s="4"/>
      <c r="D213" s="1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5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4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</row>
    <row r="214" spans="1:81" ht="16.149999999999999" customHeight="1">
      <c r="A214" s="3"/>
      <c r="B214" s="3"/>
      <c r="C214" s="4"/>
      <c r="D214" s="1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5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4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</row>
    <row r="215" spans="1:81" ht="16.149999999999999" customHeight="1">
      <c r="A215" s="3"/>
      <c r="B215" s="3"/>
      <c r="C215" s="4"/>
      <c r="D215" s="1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5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4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</row>
    <row r="216" spans="1:81" ht="16.149999999999999" customHeight="1">
      <c r="A216" s="3"/>
      <c r="B216" s="3"/>
      <c r="C216" s="4"/>
      <c r="D216" s="1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5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4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</row>
    <row r="217" spans="1:81" ht="16.149999999999999" customHeight="1">
      <c r="A217" s="3"/>
      <c r="B217" s="3"/>
      <c r="C217" s="4"/>
      <c r="D217" s="1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5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4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</row>
    <row r="218" spans="1:81" ht="16.149999999999999" customHeight="1">
      <c r="A218" s="3"/>
      <c r="B218" s="3"/>
      <c r="C218" s="4"/>
      <c r="D218" s="1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5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4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</row>
    <row r="219" spans="1:81" ht="16.149999999999999" customHeight="1">
      <c r="A219" s="3"/>
      <c r="B219" s="3"/>
      <c r="C219" s="4"/>
      <c r="D219" s="1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5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4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</row>
    <row r="220" spans="1:81" ht="16.149999999999999" customHeight="1">
      <c r="A220" s="3"/>
      <c r="B220" s="3"/>
      <c r="C220" s="4"/>
      <c r="D220" s="1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5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4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</row>
    <row r="221" spans="1:81" ht="16.149999999999999" customHeight="1">
      <c r="A221" s="3"/>
      <c r="B221" s="3"/>
      <c r="C221" s="4"/>
      <c r="D221" s="1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5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4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</row>
    <row r="222" spans="1:81" ht="16.149999999999999" customHeight="1">
      <c r="A222" s="3"/>
      <c r="B222" s="3"/>
      <c r="C222" s="4"/>
      <c r="D222" s="1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5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4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</row>
    <row r="223" spans="1:81" ht="16.149999999999999" customHeight="1">
      <c r="A223" s="3"/>
      <c r="B223" s="3"/>
      <c r="C223" s="4"/>
      <c r="D223" s="1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5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4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</row>
    <row r="224" spans="1:81" ht="16.149999999999999" customHeight="1">
      <c r="A224" s="3"/>
      <c r="B224" s="3"/>
      <c r="C224" s="4"/>
      <c r="D224" s="1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5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4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</row>
    <row r="225" spans="1:81" ht="16.149999999999999" customHeight="1">
      <c r="A225" s="3"/>
      <c r="B225" s="3"/>
      <c r="C225" s="4"/>
      <c r="D225" s="1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5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4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</row>
    <row r="226" spans="1:81" ht="16.149999999999999" customHeight="1">
      <c r="A226" s="3"/>
      <c r="B226" s="3"/>
      <c r="C226" s="4"/>
      <c r="D226" s="1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5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4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</row>
    <row r="227" spans="1:81" ht="16.149999999999999" customHeight="1">
      <c r="A227" s="3"/>
      <c r="B227" s="3"/>
      <c r="C227" s="4"/>
      <c r="D227" s="1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5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4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</row>
    <row r="228" spans="1:81" ht="16.149999999999999" customHeight="1">
      <c r="A228" s="3"/>
      <c r="B228" s="3"/>
      <c r="C228" s="4"/>
      <c r="D228" s="1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5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4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</row>
    <row r="229" spans="1:81" ht="16.149999999999999" customHeight="1">
      <c r="A229" s="3"/>
      <c r="B229" s="3"/>
      <c r="C229" s="4"/>
      <c r="D229" s="1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5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4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</row>
    <row r="230" spans="1:81" ht="16.149999999999999" customHeight="1">
      <c r="A230" s="3"/>
      <c r="B230" s="3"/>
      <c r="C230" s="4" t="s">
        <v>73</v>
      </c>
      <c r="D230" s="1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5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4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</row>
    <row r="231" spans="1:81" ht="16.149999999999999" customHeight="1">
      <c r="A231" s="3"/>
      <c r="B231" s="3"/>
      <c r="C231" s="4"/>
      <c r="D231" s="11" t="s">
        <v>75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5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4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</row>
    <row r="232" spans="1:81" ht="16.149999999999999" customHeight="1">
      <c r="A232" s="3"/>
      <c r="B232" s="3"/>
      <c r="C232" s="4"/>
      <c r="D232" s="11" t="s">
        <v>222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5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4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</row>
    <row r="233" spans="1:81" ht="16.149999999999999" customHeight="1">
      <c r="A233" s="3"/>
      <c r="B233" s="3"/>
      <c r="C233" s="4"/>
      <c r="D233" s="11"/>
      <c r="E233" s="253" t="s">
        <v>640</v>
      </c>
      <c r="F233" s="253"/>
      <c r="G233" s="253"/>
      <c r="H233" s="253"/>
      <c r="I233" s="253"/>
      <c r="J233" s="253"/>
      <c r="K233" s="253"/>
      <c r="L233" s="253"/>
      <c r="M233" s="253"/>
      <c r="N233" s="253"/>
      <c r="O233" s="253"/>
      <c r="P233" s="5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4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</row>
    <row r="234" spans="1:81" ht="5.45" customHeight="1">
      <c r="A234" s="3"/>
      <c r="B234" s="3"/>
      <c r="C234" s="4"/>
      <c r="D234" s="1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5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4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</row>
    <row r="235" spans="1:81" ht="16.149999999999999" customHeight="1">
      <c r="A235" s="3"/>
      <c r="B235" s="3"/>
      <c r="C235" s="4"/>
      <c r="D235" s="59"/>
      <c r="E235" s="42"/>
      <c r="F235" s="42"/>
      <c r="G235" s="42" t="s">
        <v>76</v>
      </c>
      <c r="H235" s="42"/>
      <c r="I235" s="42"/>
      <c r="J235" s="43"/>
      <c r="K235" s="59"/>
      <c r="L235" s="42"/>
      <c r="M235" s="42"/>
      <c r="N235" s="42" t="s">
        <v>77</v>
      </c>
      <c r="O235" s="42"/>
      <c r="P235" s="42"/>
      <c r="Q235" s="4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4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</row>
    <row r="236" spans="1:81" ht="16.149999999999999" customHeight="1">
      <c r="A236" s="3"/>
      <c r="B236" s="3"/>
      <c r="C236" s="4"/>
      <c r="D236" s="23"/>
      <c r="E236" s="24"/>
      <c r="F236" s="21"/>
      <c r="G236" s="21" t="s">
        <v>78</v>
      </c>
      <c r="H236" s="24"/>
      <c r="I236" s="24"/>
      <c r="J236" s="25"/>
      <c r="K236" s="23"/>
      <c r="L236" s="24"/>
      <c r="M236" s="21"/>
      <c r="N236" s="21" t="s">
        <v>618</v>
      </c>
      <c r="O236" s="24"/>
      <c r="P236" s="24"/>
      <c r="Q236" s="25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4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</row>
    <row r="237" spans="1:81" ht="16.149999999999999" customHeight="1">
      <c r="A237" s="3"/>
      <c r="B237" s="3"/>
      <c r="C237" s="4"/>
      <c r="D237" s="23"/>
      <c r="E237" s="24"/>
      <c r="F237" s="21"/>
      <c r="G237" s="21" t="s">
        <v>83</v>
      </c>
      <c r="H237" s="24"/>
      <c r="I237" s="24"/>
      <c r="J237" s="25"/>
      <c r="K237" s="23"/>
      <c r="L237" s="24"/>
      <c r="M237" s="21"/>
      <c r="N237" s="21" t="s">
        <v>619</v>
      </c>
      <c r="O237" s="24"/>
      <c r="P237" s="24"/>
      <c r="Q237" s="25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4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</row>
    <row r="238" spans="1:81" ht="16.149999999999999" customHeight="1">
      <c r="A238" s="3"/>
      <c r="B238" s="3"/>
      <c r="C238" s="4"/>
      <c r="D238" s="23"/>
      <c r="E238" s="24"/>
      <c r="F238" s="21"/>
      <c r="G238" s="21" t="s">
        <v>84</v>
      </c>
      <c r="H238" s="24"/>
      <c r="I238" s="24"/>
      <c r="J238" s="25"/>
      <c r="K238" s="23"/>
      <c r="L238" s="24"/>
      <c r="M238" s="21"/>
      <c r="N238" s="21" t="s">
        <v>79</v>
      </c>
      <c r="O238" s="24"/>
      <c r="P238" s="24"/>
      <c r="Q238" s="25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4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</row>
    <row r="239" spans="1:81" ht="16.149999999999999" customHeight="1">
      <c r="A239" s="3"/>
      <c r="B239" s="3"/>
      <c r="C239" s="4"/>
      <c r="D239" s="1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5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4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</row>
    <row r="240" spans="1:81" ht="16.149999999999999" customHeight="1">
      <c r="A240" s="3"/>
      <c r="B240" s="3"/>
      <c r="C240" s="4"/>
      <c r="D240" s="1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5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4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</row>
    <row r="241" spans="1:81" ht="16.149999999999999" customHeight="1">
      <c r="A241" s="3"/>
      <c r="B241" s="3"/>
      <c r="C241" s="4" t="s">
        <v>85</v>
      </c>
      <c r="D241" s="1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5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4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</row>
    <row r="242" spans="1:81" ht="16.149999999999999" customHeight="1">
      <c r="A242" s="3"/>
      <c r="B242" s="3"/>
      <c r="C242" s="4"/>
      <c r="D242" s="11" t="s">
        <v>87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5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4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</row>
    <row r="243" spans="1:81" ht="16.149999999999999" customHeight="1">
      <c r="A243" s="3"/>
      <c r="B243" s="3"/>
      <c r="C243" s="4"/>
      <c r="D243" s="11" t="s">
        <v>88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5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4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</row>
    <row r="244" spans="1:81" ht="16.149999999999999" customHeight="1">
      <c r="A244" s="3"/>
      <c r="B244" s="3"/>
      <c r="C244" s="4"/>
      <c r="D244" s="11" t="s">
        <v>89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5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4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</row>
    <row r="245" spans="1:81" ht="16.149999999999999" customHeight="1">
      <c r="A245" s="3"/>
      <c r="B245" s="3"/>
      <c r="C245" s="4"/>
      <c r="D245" s="11"/>
      <c r="E245" s="153" t="s">
        <v>729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5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4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</row>
    <row r="246" spans="1:81" ht="9" customHeight="1">
      <c r="A246" s="3"/>
      <c r="B246" s="3"/>
      <c r="C246" s="4"/>
      <c r="D246" s="1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5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4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</row>
    <row r="247" spans="1:81" ht="16.149999999999999" customHeight="1">
      <c r="A247" s="3"/>
      <c r="B247" s="3"/>
      <c r="C247" s="4"/>
      <c r="D247" s="59"/>
      <c r="E247" s="42" t="s">
        <v>90</v>
      </c>
      <c r="F247" s="43"/>
      <c r="G247" s="60"/>
      <c r="H247" s="61"/>
      <c r="I247" s="62"/>
      <c r="J247" s="62" t="s">
        <v>92</v>
      </c>
      <c r="K247" s="61"/>
      <c r="L247" s="61"/>
      <c r="M247" s="63"/>
      <c r="N247" s="64"/>
      <c r="O247" s="65"/>
      <c r="P247" s="66"/>
      <c r="Q247" s="66" t="s">
        <v>93</v>
      </c>
      <c r="R247" s="65"/>
      <c r="S247" s="65"/>
      <c r="T247" s="67"/>
      <c r="U247" s="68"/>
      <c r="V247" s="69"/>
      <c r="W247" s="70"/>
      <c r="X247" s="70" t="s">
        <v>94</v>
      </c>
      <c r="Y247" s="69"/>
      <c r="Z247" s="69"/>
      <c r="AA247" s="71"/>
      <c r="AB247" s="72"/>
      <c r="AC247" s="73"/>
      <c r="AD247" s="74"/>
      <c r="AE247" s="74" t="s">
        <v>95</v>
      </c>
      <c r="AF247" s="73"/>
      <c r="AG247" s="73"/>
      <c r="AH247" s="75"/>
      <c r="AI247" s="76"/>
      <c r="AJ247" s="77"/>
      <c r="AK247" s="78"/>
      <c r="AL247" s="78" t="s">
        <v>96</v>
      </c>
      <c r="AM247" s="77"/>
      <c r="AN247" s="77"/>
      <c r="AO247" s="79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</row>
    <row r="248" spans="1:81" ht="16.149999999999999" customHeight="1">
      <c r="A248" s="3"/>
      <c r="B248" s="3"/>
      <c r="C248" s="4"/>
      <c r="D248" s="59"/>
      <c r="E248" s="42" t="s">
        <v>91</v>
      </c>
      <c r="F248" s="43"/>
      <c r="G248" s="23"/>
      <c r="H248" s="24"/>
      <c r="I248" s="21"/>
      <c r="J248" s="21" t="s">
        <v>223</v>
      </c>
      <c r="K248" s="24"/>
      <c r="L248" s="24"/>
      <c r="M248" s="25"/>
      <c r="N248" s="23"/>
      <c r="O248" s="24"/>
      <c r="P248" s="21"/>
      <c r="Q248" s="21" t="s">
        <v>224</v>
      </c>
      <c r="R248" s="24"/>
      <c r="S248" s="24"/>
      <c r="T248" s="25"/>
      <c r="U248" s="23"/>
      <c r="V248" s="24"/>
      <c r="W248" s="21"/>
      <c r="X248" s="21" t="s">
        <v>225</v>
      </c>
      <c r="Y248" s="24"/>
      <c r="Z248" s="24"/>
      <c r="AA248" s="25"/>
      <c r="AB248" s="23"/>
      <c r="AC248" s="24"/>
      <c r="AD248" s="21"/>
      <c r="AE248" s="21" t="s">
        <v>226</v>
      </c>
      <c r="AF248" s="24"/>
      <c r="AG248" s="24"/>
      <c r="AH248" s="25"/>
      <c r="AI248" s="23"/>
      <c r="AJ248" s="24"/>
      <c r="AK248" s="21"/>
      <c r="AL248" s="21" t="s">
        <v>16</v>
      </c>
      <c r="AM248" s="24"/>
      <c r="AN248" s="24"/>
      <c r="AO248" s="25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</row>
    <row r="249" spans="1:81" ht="16.149999999999999" customHeight="1">
      <c r="A249" s="3"/>
      <c r="B249" s="3"/>
      <c r="C249" s="4"/>
      <c r="D249" s="59"/>
      <c r="E249" s="42" t="s">
        <v>724</v>
      </c>
      <c r="F249" s="43"/>
      <c r="G249" s="23"/>
      <c r="H249" s="24"/>
      <c r="I249" s="21"/>
      <c r="J249" s="21" t="s">
        <v>725</v>
      </c>
      <c r="K249" s="24"/>
      <c r="L249" s="24"/>
      <c r="M249" s="25"/>
      <c r="N249" s="23"/>
      <c r="O249" s="24"/>
      <c r="P249" s="21"/>
      <c r="Q249" s="21" t="s">
        <v>726</v>
      </c>
      <c r="R249" s="24"/>
      <c r="S249" s="24"/>
      <c r="T249" s="25"/>
      <c r="U249" s="23"/>
      <c r="V249" s="24"/>
      <c r="W249" s="21"/>
      <c r="X249" s="21" t="s">
        <v>727</v>
      </c>
      <c r="Y249" s="24"/>
      <c r="Z249" s="24"/>
      <c r="AA249" s="25"/>
      <c r="AB249" s="23"/>
      <c r="AC249" s="24"/>
      <c r="AD249" s="21"/>
      <c r="AE249" s="21" t="s">
        <v>728</v>
      </c>
      <c r="AF249" s="24"/>
      <c r="AG249" s="24"/>
      <c r="AH249" s="25"/>
      <c r="AI249" s="23"/>
      <c r="AJ249" s="24"/>
      <c r="AK249" s="21"/>
      <c r="AL249" s="21" t="s">
        <v>16</v>
      </c>
      <c r="AM249" s="24"/>
      <c r="AN249" s="24"/>
      <c r="AO249" s="25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</row>
    <row r="250" spans="1:81" ht="16.149999999999999" customHeight="1">
      <c r="A250" s="3"/>
      <c r="B250" s="3"/>
      <c r="C250" s="4"/>
      <c r="D250" s="59"/>
      <c r="E250" s="42" t="s">
        <v>97</v>
      </c>
      <c r="F250" s="43"/>
      <c r="G250" s="23"/>
      <c r="H250" s="24"/>
      <c r="I250" s="21"/>
      <c r="J250" s="21" t="s">
        <v>98</v>
      </c>
      <c r="K250" s="24"/>
      <c r="L250" s="24"/>
      <c r="M250" s="25"/>
      <c r="N250" s="23"/>
      <c r="O250" s="24"/>
      <c r="P250" s="21"/>
      <c r="Q250" s="21" t="s">
        <v>227</v>
      </c>
      <c r="R250" s="24"/>
      <c r="S250" s="24"/>
      <c r="T250" s="25"/>
      <c r="U250" s="23"/>
      <c r="V250" s="24"/>
      <c r="W250" s="21"/>
      <c r="X250" s="21" t="s">
        <v>99</v>
      </c>
      <c r="Y250" s="24"/>
      <c r="Z250" s="24"/>
      <c r="AA250" s="25"/>
      <c r="AB250" s="23"/>
      <c r="AC250" s="24"/>
      <c r="AD250" s="21"/>
      <c r="AE250" s="21" t="s">
        <v>228</v>
      </c>
      <c r="AF250" s="24"/>
      <c r="AG250" s="24"/>
      <c r="AH250" s="25"/>
      <c r="AI250" s="23"/>
      <c r="AJ250" s="24"/>
      <c r="AK250" s="21"/>
      <c r="AL250" s="21" t="s">
        <v>16</v>
      </c>
      <c r="AM250" s="24"/>
      <c r="AN250" s="24"/>
      <c r="AO250" s="25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</row>
    <row r="251" spans="1:81" ht="16.149999999999999" customHeight="1">
      <c r="A251" s="3"/>
      <c r="B251" s="3"/>
      <c r="C251" s="4"/>
      <c r="D251" s="1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5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4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</row>
    <row r="252" spans="1:81" ht="16.149999999999999" customHeight="1">
      <c r="A252" s="3"/>
      <c r="B252" s="3"/>
      <c r="C252" s="4"/>
      <c r="D252" s="1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5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4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</row>
    <row r="253" spans="1:81" ht="16.149999999999999" customHeight="1">
      <c r="A253" s="3"/>
      <c r="B253" s="3"/>
      <c r="C253" s="4"/>
      <c r="D253" s="1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5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4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</row>
    <row r="254" spans="1:81" ht="17.45" customHeight="1">
      <c r="A254" s="7"/>
      <c r="B254" s="9" t="s">
        <v>80</v>
      </c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9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10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</row>
    <row r="255" spans="1:81" ht="16.149999999999999" customHeight="1">
      <c r="A255" s="3"/>
      <c r="B255" s="3"/>
      <c r="C255" s="4"/>
      <c r="D255" s="1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5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4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</row>
    <row r="256" spans="1:81" ht="16.149999999999999" customHeight="1">
      <c r="A256" s="3"/>
      <c r="B256" s="3"/>
      <c r="C256" s="4" t="s">
        <v>100</v>
      </c>
      <c r="D256" s="1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5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4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</row>
    <row r="257" spans="1:81" ht="7.9" customHeight="1">
      <c r="A257" s="3"/>
      <c r="B257" s="3"/>
      <c r="C257" s="4"/>
      <c r="D257" s="1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5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4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</row>
    <row r="258" spans="1:81" ht="16.149999999999999" customHeight="1">
      <c r="A258" s="3"/>
      <c r="B258" s="3"/>
      <c r="C258" s="4"/>
      <c r="D258" s="1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5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4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</row>
    <row r="259" spans="1:81" ht="16.149999999999999" customHeight="1">
      <c r="A259" s="3"/>
      <c r="B259" s="3"/>
      <c r="C259" s="4"/>
      <c r="D259" s="1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5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4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</row>
    <row r="260" spans="1:81" ht="16.149999999999999" customHeight="1">
      <c r="A260" s="3"/>
      <c r="B260" s="3"/>
      <c r="C260" s="4"/>
      <c r="D260" s="1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5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4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</row>
    <row r="261" spans="1:81" ht="16.149999999999999" customHeight="1">
      <c r="A261" s="3"/>
      <c r="B261" s="3"/>
      <c r="C261" s="4"/>
      <c r="D261" s="1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5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4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</row>
    <row r="262" spans="1:81" ht="16.149999999999999" customHeight="1">
      <c r="A262" s="3"/>
      <c r="B262" s="3"/>
      <c r="C262" s="4"/>
      <c r="D262" s="1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5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4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</row>
    <row r="263" spans="1:81" ht="16.149999999999999" customHeight="1">
      <c r="A263" s="3"/>
      <c r="B263" s="3"/>
      <c r="C263" s="4"/>
      <c r="D263" s="1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5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4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</row>
    <row r="264" spans="1:81" ht="16.149999999999999" customHeight="1">
      <c r="A264" s="3"/>
      <c r="B264" s="3"/>
      <c r="C264" s="4"/>
      <c r="D264" s="1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5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4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</row>
    <row r="265" spans="1:81" ht="16.149999999999999" customHeight="1">
      <c r="A265" s="3"/>
      <c r="B265" s="3"/>
      <c r="C265" s="4"/>
      <c r="D265" s="1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5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4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</row>
    <row r="266" spans="1:81" ht="16.149999999999999" customHeight="1">
      <c r="A266" s="3"/>
      <c r="B266" s="3"/>
      <c r="C266" s="4"/>
      <c r="D266" s="1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5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4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</row>
    <row r="267" spans="1:81" ht="16.149999999999999" customHeight="1">
      <c r="A267" s="3"/>
      <c r="B267" s="3"/>
      <c r="C267" s="4"/>
      <c r="D267" s="1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5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4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</row>
    <row r="268" spans="1:81" ht="16.149999999999999" customHeight="1">
      <c r="A268" s="3"/>
      <c r="B268" s="3"/>
      <c r="C268" s="4"/>
      <c r="D268" s="1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5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4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</row>
    <row r="269" spans="1:81" ht="11.45" customHeight="1">
      <c r="A269" s="3"/>
      <c r="B269" s="3"/>
      <c r="C269" s="4"/>
      <c r="D269" s="1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5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4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</row>
    <row r="270" spans="1:81" ht="16.149999999999999" customHeight="1">
      <c r="A270" s="3"/>
      <c r="B270" s="11" t="s">
        <v>104</v>
      </c>
      <c r="C270" s="1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11"/>
      <c r="AC270" s="11" t="s">
        <v>105</v>
      </c>
      <c r="AD270" s="3"/>
      <c r="AE270" s="3"/>
      <c r="AF270" s="3"/>
      <c r="AG270" s="3"/>
      <c r="AH270" s="4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11"/>
      <c r="BD270" s="11" t="s">
        <v>106</v>
      </c>
      <c r="BE270" s="11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</row>
    <row r="271" spans="1:81" ht="16.149999999999999" customHeight="1">
      <c r="A271" s="3"/>
      <c r="B271" s="3"/>
      <c r="C271" s="4"/>
      <c r="D271" s="1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5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4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</row>
    <row r="272" spans="1:81" ht="16.149999999999999" customHeight="1">
      <c r="A272" s="3"/>
      <c r="B272" s="3"/>
      <c r="C272" s="4"/>
      <c r="D272" s="1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5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4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 spans="1:81" ht="16.149999999999999" customHeight="1">
      <c r="A273" s="3"/>
      <c r="B273" s="3"/>
      <c r="C273" s="4"/>
      <c r="D273" s="1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5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4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</row>
    <row r="274" spans="1:81" ht="16.149999999999999" customHeight="1">
      <c r="A274" s="3"/>
      <c r="B274" s="3"/>
      <c r="C274" s="4"/>
      <c r="D274" s="1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5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4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</row>
    <row r="275" spans="1:81" ht="16.149999999999999" customHeight="1">
      <c r="A275" s="3"/>
      <c r="B275" s="3"/>
      <c r="C275" s="4" t="s">
        <v>107</v>
      </c>
      <c r="D275" s="1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5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4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</row>
    <row r="276" spans="1:81" ht="8.4499999999999993" customHeight="1" thickBot="1">
      <c r="A276" s="3"/>
      <c r="B276" s="3"/>
      <c r="C276" s="4"/>
      <c r="D276" s="1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5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4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</row>
    <row r="277" spans="1:81" ht="16.149999999999999" customHeight="1">
      <c r="A277" s="3"/>
      <c r="B277" s="178"/>
      <c r="C277" s="179"/>
      <c r="D277" s="165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75"/>
      <c r="P277" s="81"/>
      <c r="Q277" s="81"/>
      <c r="R277" s="81"/>
      <c r="S277" s="81"/>
      <c r="T277" s="81"/>
      <c r="U277" s="155"/>
      <c r="V277" s="156"/>
      <c r="W277" s="156"/>
      <c r="X277" s="156"/>
      <c r="Y277" s="156"/>
      <c r="Z277" s="156"/>
      <c r="AA277" s="157"/>
      <c r="AB277" s="158"/>
      <c r="AC277" s="156"/>
      <c r="AD277" s="156"/>
      <c r="AE277" s="156"/>
      <c r="AF277" s="156"/>
      <c r="AG277" s="156"/>
      <c r="AH277" s="157"/>
      <c r="AI277" s="158"/>
      <c r="AJ277" s="156"/>
      <c r="AK277" s="156"/>
      <c r="AL277" s="156"/>
      <c r="AM277" s="156"/>
      <c r="AN277" s="156"/>
      <c r="AO277" s="159"/>
      <c r="AP277" s="155"/>
      <c r="AQ277" s="159"/>
      <c r="AR277" s="155"/>
      <c r="AS277" s="159"/>
      <c r="AT277" s="3"/>
      <c r="AU277" s="41"/>
      <c r="AV277" s="42" t="s">
        <v>108</v>
      </c>
      <c r="AW277" s="43"/>
      <c r="AX277" s="42"/>
      <c r="AY277" s="42"/>
      <c r="AZ277" s="42"/>
      <c r="BA277" s="42" t="s">
        <v>13</v>
      </c>
      <c r="BB277" s="42"/>
      <c r="BC277" s="42"/>
      <c r="BD277" s="43"/>
      <c r="BE277" s="44" t="s">
        <v>24</v>
      </c>
      <c r="BF277" s="42"/>
      <c r="BG277" s="42"/>
      <c r="BH277" s="42"/>
      <c r="BI277" s="42"/>
      <c r="BJ277" s="42"/>
      <c r="BK277" s="42"/>
      <c r="BL277" s="42"/>
      <c r="BM277" s="42"/>
      <c r="BN277" s="42"/>
      <c r="BO277" s="42"/>
      <c r="BP277" s="42"/>
      <c r="BQ277" s="42"/>
      <c r="BR277" s="42"/>
      <c r="BS277" s="42"/>
      <c r="BT277" s="42"/>
      <c r="BU277" s="42"/>
      <c r="BV277" s="42"/>
      <c r="BW277" s="42"/>
      <c r="BX277" s="42"/>
      <c r="BY277" s="42"/>
      <c r="BZ277" s="43"/>
      <c r="CA277" s="3"/>
      <c r="CB277" s="3"/>
      <c r="CC277" s="3"/>
    </row>
    <row r="278" spans="1:81" ht="16.149999999999999" customHeight="1" thickBot="1">
      <c r="A278" s="3"/>
      <c r="B278" s="180"/>
      <c r="C278" s="181"/>
      <c r="D278" s="171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7"/>
      <c r="P278" s="92"/>
      <c r="Q278" s="92"/>
      <c r="R278" s="92"/>
      <c r="S278" s="92"/>
      <c r="T278" s="92"/>
      <c r="U278" s="160"/>
      <c r="V278" s="161"/>
      <c r="W278" s="161"/>
      <c r="X278" s="161"/>
      <c r="Y278" s="161"/>
      <c r="Z278" s="161"/>
      <c r="AA278" s="162"/>
      <c r="AB278" s="163"/>
      <c r="AC278" s="161"/>
      <c r="AD278" s="161"/>
      <c r="AE278" s="161"/>
      <c r="AF278" s="161"/>
      <c r="AG278" s="161"/>
      <c r="AH278" s="162"/>
      <c r="AI278" s="163"/>
      <c r="AJ278" s="161"/>
      <c r="AK278" s="161"/>
      <c r="AL278" s="161"/>
      <c r="AM278" s="161"/>
      <c r="AN278" s="161"/>
      <c r="AO278" s="164"/>
      <c r="AP278" s="160"/>
      <c r="AQ278" s="164"/>
      <c r="AR278" s="160"/>
      <c r="AS278" s="164"/>
      <c r="AT278" s="3"/>
      <c r="AU278" s="51"/>
      <c r="AV278" s="53">
        <v>1</v>
      </c>
      <c r="AW278" s="54"/>
      <c r="AX278" s="24"/>
      <c r="AY278" s="24"/>
      <c r="AZ278" s="21"/>
      <c r="BA278" s="21" t="s">
        <v>61</v>
      </c>
      <c r="BB278" s="24"/>
      <c r="BC278" s="24"/>
      <c r="BD278" s="25"/>
      <c r="BE278" s="17" t="s">
        <v>109</v>
      </c>
      <c r="BF278" s="18"/>
      <c r="BG278" s="18"/>
      <c r="BH278" s="18"/>
      <c r="BI278" s="18"/>
      <c r="BJ278" s="17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20"/>
      <c r="CA278" s="3"/>
      <c r="CB278" s="3"/>
      <c r="CC278" s="3"/>
    </row>
    <row r="279" spans="1:81" ht="16.149999999999999" customHeight="1">
      <c r="A279" s="3"/>
      <c r="B279" s="83"/>
      <c r="C279" s="1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5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4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84"/>
      <c r="AT279" s="3"/>
      <c r="AU279" s="51"/>
      <c r="AV279" s="53">
        <v>2</v>
      </c>
      <c r="AW279" s="54"/>
      <c r="AX279" s="24"/>
      <c r="AY279" s="24"/>
      <c r="AZ279" s="21"/>
      <c r="BA279" s="21" t="s">
        <v>110</v>
      </c>
      <c r="BB279" s="24"/>
      <c r="BC279" s="24"/>
      <c r="BD279" s="25"/>
      <c r="BE279" s="17" t="s">
        <v>111</v>
      </c>
      <c r="BF279" s="18"/>
      <c r="BG279" s="18"/>
      <c r="BH279" s="18"/>
      <c r="BI279" s="18"/>
      <c r="BJ279" s="17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20"/>
      <c r="CA279" s="3"/>
      <c r="CB279" s="3"/>
      <c r="CC279" s="3"/>
    </row>
    <row r="280" spans="1:81" ht="16.149999999999999" customHeight="1" thickBot="1">
      <c r="A280" s="3"/>
      <c r="B280" s="83"/>
      <c r="C280" s="1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4"/>
      <c r="AH280" s="3"/>
      <c r="AI280" s="3"/>
      <c r="AJ280" s="3"/>
      <c r="AK280" s="3"/>
      <c r="AL280" s="3"/>
      <c r="AM280" s="3"/>
      <c r="AN280" s="4"/>
      <c r="AO280" s="3"/>
      <c r="AP280" s="3"/>
      <c r="AQ280" s="3"/>
      <c r="AR280" s="3"/>
      <c r="AS280" s="84"/>
      <c r="AT280" s="3"/>
      <c r="AU280" s="51"/>
      <c r="AV280" s="53">
        <v>3</v>
      </c>
      <c r="AW280" s="54"/>
      <c r="AX280" s="24"/>
      <c r="AY280" s="24"/>
      <c r="AZ280" s="21"/>
      <c r="BA280" s="21" t="s">
        <v>112</v>
      </c>
      <c r="BB280" s="24"/>
      <c r="BC280" s="24"/>
      <c r="BD280" s="25"/>
      <c r="BE280" s="17" t="s">
        <v>113</v>
      </c>
      <c r="BF280" s="18"/>
      <c r="BG280" s="18"/>
      <c r="BH280" s="18"/>
      <c r="BI280" s="18"/>
      <c r="BJ280" s="17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20"/>
      <c r="CA280" s="3"/>
      <c r="CB280" s="3"/>
      <c r="CC280" s="3"/>
    </row>
    <row r="281" spans="1:81" ht="16.149999999999999" customHeight="1">
      <c r="A281" s="3"/>
      <c r="B281" s="83"/>
      <c r="C281" s="11"/>
      <c r="D281" s="165"/>
      <c r="E281" s="166"/>
      <c r="F281" s="167"/>
      <c r="G281" s="166"/>
      <c r="H281" s="166"/>
      <c r="I281" s="166" t="s">
        <v>135</v>
      </c>
      <c r="J281" s="166"/>
      <c r="K281" s="166"/>
      <c r="L281" s="166"/>
      <c r="M281" s="166"/>
      <c r="N281" s="166"/>
      <c r="O281" s="168"/>
      <c r="P281" s="3"/>
      <c r="Q281" s="155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82"/>
      <c r="AH281" s="156"/>
      <c r="AI281" s="156"/>
      <c r="AJ281" s="156"/>
      <c r="AK281" s="156"/>
      <c r="AL281" s="156"/>
      <c r="AM281" s="156"/>
      <c r="AN281" s="156"/>
      <c r="AO281" s="156"/>
      <c r="AP281" s="156"/>
      <c r="AQ281" s="159"/>
      <c r="AR281" s="3"/>
      <c r="AS281" s="84"/>
      <c r="AT281" s="3"/>
      <c r="AU281" s="51"/>
      <c r="AV281" s="53">
        <v>4</v>
      </c>
      <c r="AW281" s="54"/>
      <c r="AX281" s="24"/>
      <c r="AY281" s="24"/>
      <c r="AZ281" s="21"/>
      <c r="BA281" s="21" t="s">
        <v>114</v>
      </c>
      <c r="BB281" s="24"/>
      <c r="BC281" s="24"/>
      <c r="BD281" s="25"/>
      <c r="BE281" s="17" t="s">
        <v>115</v>
      </c>
      <c r="BF281" s="18"/>
      <c r="BG281" s="18"/>
      <c r="BH281" s="18"/>
      <c r="BI281" s="18"/>
      <c r="BJ281" s="17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20"/>
      <c r="CA281" s="3"/>
      <c r="CB281" s="3"/>
      <c r="CC281" s="3"/>
    </row>
    <row r="282" spans="1:81" ht="16.149999999999999" customHeight="1">
      <c r="A282" s="3"/>
      <c r="B282" s="83"/>
      <c r="C282" s="11"/>
      <c r="D282" s="169"/>
      <c r="E282" s="1"/>
      <c r="F282" s="86"/>
      <c r="G282" s="288" t="s">
        <v>136</v>
      </c>
      <c r="H282" s="269"/>
      <c r="I282" s="1"/>
      <c r="J282" s="1"/>
      <c r="K282" s="1"/>
      <c r="L282" s="1"/>
      <c r="M282" s="1"/>
      <c r="N282" s="1"/>
      <c r="O282" s="170"/>
      <c r="P282" s="3"/>
      <c r="Q282" s="18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4"/>
      <c r="AH282" s="3"/>
      <c r="AI282" s="3"/>
      <c r="AJ282" s="3"/>
      <c r="AK282" s="3"/>
      <c r="AL282" s="3"/>
      <c r="AM282" s="3"/>
      <c r="AN282" s="3"/>
      <c r="AO282" s="3"/>
      <c r="AP282" s="3"/>
      <c r="AQ282" s="184"/>
      <c r="AR282" s="3"/>
      <c r="AS282" s="84"/>
      <c r="AT282" s="3"/>
      <c r="AU282" s="51"/>
      <c r="AV282" s="53">
        <v>5</v>
      </c>
      <c r="AW282" s="54"/>
      <c r="AX282" s="24"/>
      <c r="AY282" s="24"/>
      <c r="AZ282" s="21"/>
      <c r="BA282" s="21" t="s">
        <v>63</v>
      </c>
      <c r="BB282" s="24"/>
      <c r="BC282" s="24"/>
      <c r="BD282" s="25"/>
      <c r="BE282" s="17" t="s">
        <v>116</v>
      </c>
      <c r="BF282" s="18"/>
      <c r="BG282" s="18"/>
      <c r="BH282" s="18"/>
      <c r="BI282" s="18"/>
      <c r="BJ282" s="17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20"/>
      <c r="CA282" s="3"/>
      <c r="CB282" s="3"/>
      <c r="CC282" s="3"/>
    </row>
    <row r="283" spans="1:81" ht="16.149999999999999" customHeight="1" thickBot="1">
      <c r="A283" s="3"/>
      <c r="B283" s="83"/>
      <c r="C283" s="11"/>
      <c r="D283" s="171"/>
      <c r="E283" s="172"/>
      <c r="F283" s="173"/>
      <c r="G283" s="172"/>
      <c r="H283" s="172"/>
      <c r="I283" s="172" t="s">
        <v>137</v>
      </c>
      <c r="J283" s="172"/>
      <c r="K283" s="172"/>
      <c r="L283" s="172"/>
      <c r="M283" s="172"/>
      <c r="N283" s="172"/>
      <c r="O283" s="174"/>
      <c r="P283" s="3"/>
      <c r="Q283" s="18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4"/>
      <c r="AH283" s="3"/>
      <c r="AI283" s="3"/>
      <c r="AJ283" s="3"/>
      <c r="AK283" s="3"/>
      <c r="AL283" s="3"/>
      <c r="AM283" s="3"/>
      <c r="AN283" s="3"/>
      <c r="AO283" s="3"/>
      <c r="AP283" s="3"/>
      <c r="AQ283" s="184"/>
      <c r="AR283" s="3"/>
      <c r="AS283" s="84"/>
      <c r="AT283" s="3"/>
      <c r="AU283" s="51"/>
      <c r="AV283" s="53">
        <v>6</v>
      </c>
      <c r="AW283" s="54"/>
      <c r="AX283" s="24"/>
      <c r="AY283" s="24"/>
      <c r="AZ283" s="21"/>
      <c r="BA283" s="21" t="s">
        <v>117</v>
      </c>
      <c r="BB283" s="24"/>
      <c r="BC283" s="24"/>
      <c r="BD283" s="25"/>
      <c r="BE283" s="17" t="s">
        <v>125</v>
      </c>
      <c r="BF283" s="18"/>
      <c r="BG283" s="18"/>
      <c r="BH283" s="18"/>
      <c r="BI283" s="18"/>
      <c r="BJ283" s="17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20"/>
      <c r="CA283" s="3"/>
      <c r="CB283" s="3"/>
      <c r="CC283" s="3"/>
    </row>
    <row r="284" spans="1:81" ht="16.149999999999999" customHeight="1">
      <c r="A284" s="3"/>
      <c r="B284" s="83"/>
      <c r="C284" s="11"/>
      <c r="D284" s="165"/>
      <c r="E284" s="166"/>
      <c r="F284" s="167"/>
      <c r="G284" s="289" t="s">
        <v>138</v>
      </c>
      <c r="H284" s="266"/>
      <c r="I284" s="266"/>
      <c r="J284" s="266"/>
      <c r="K284" s="290"/>
      <c r="L284" s="289" t="s">
        <v>140</v>
      </c>
      <c r="M284" s="266"/>
      <c r="N284" s="266"/>
      <c r="O284" s="267"/>
      <c r="P284" s="3"/>
      <c r="Q284" s="18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4"/>
      <c r="AH284" s="3"/>
      <c r="AI284" s="3"/>
      <c r="AJ284" s="3"/>
      <c r="AK284" s="3"/>
      <c r="AL284" s="3"/>
      <c r="AM284" s="3"/>
      <c r="AN284" s="3"/>
      <c r="AO284" s="3"/>
      <c r="AP284" s="3"/>
      <c r="AQ284" s="184"/>
      <c r="AR284" s="3"/>
      <c r="AS284" s="84"/>
      <c r="AT284" s="3"/>
      <c r="AU284" s="51"/>
      <c r="AV284" s="53">
        <v>7</v>
      </c>
      <c r="AW284" s="54"/>
      <c r="AX284" s="24"/>
      <c r="AY284" s="24"/>
      <c r="AZ284" s="21"/>
      <c r="BA284" s="21" t="s">
        <v>120</v>
      </c>
      <c r="BB284" s="24"/>
      <c r="BC284" s="24"/>
      <c r="BD284" s="25"/>
      <c r="BE284" s="17" t="s">
        <v>126</v>
      </c>
      <c r="BF284" s="18"/>
      <c r="BG284" s="18"/>
      <c r="BH284" s="18"/>
      <c r="BI284" s="18"/>
      <c r="BJ284" s="17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20"/>
      <c r="CA284" s="3"/>
      <c r="CB284" s="3"/>
      <c r="CC284" s="3"/>
    </row>
    <row r="285" spans="1:81" ht="15.6" customHeight="1">
      <c r="A285" s="3"/>
      <c r="B285" s="83"/>
      <c r="C285" s="6"/>
      <c r="D285" s="169"/>
      <c r="E285" s="1"/>
      <c r="F285" s="86"/>
      <c r="G285" s="282"/>
      <c r="H285" s="283"/>
      <c r="I285" s="283"/>
      <c r="J285" s="283"/>
      <c r="K285" s="284"/>
      <c r="L285" s="282"/>
      <c r="M285" s="283"/>
      <c r="N285" s="283"/>
      <c r="O285" s="291"/>
      <c r="P285" s="3"/>
      <c r="Q285" s="18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4"/>
      <c r="AH285" s="3"/>
      <c r="AI285" s="3"/>
      <c r="AJ285" s="3"/>
      <c r="AK285" s="3"/>
      <c r="AL285" s="3"/>
      <c r="AM285" s="3"/>
      <c r="AN285" s="3"/>
      <c r="AO285" s="3"/>
      <c r="AP285" s="3"/>
      <c r="AQ285" s="184"/>
      <c r="AR285" s="3"/>
      <c r="AS285" s="84"/>
      <c r="AT285" s="3"/>
      <c r="AU285" s="51"/>
      <c r="AV285" s="53">
        <v>8</v>
      </c>
      <c r="AW285" s="54"/>
      <c r="AX285" s="24"/>
      <c r="AY285" s="24"/>
      <c r="AZ285" s="21"/>
      <c r="BA285" s="21" t="s">
        <v>118</v>
      </c>
      <c r="BB285" s="24"/>
      <c r="BC285" s="24"/>
      <c r="BD285" s="25"/>
      <c r="BE285" s="32" t="s">
        <v>127</v>
      </c>
      <c r="BF285" s="28"/>
      <c r="BG285" s="28"/>
      <c r="BH285" s="28"/>
      <c r="BI285" s="28"/>
      <c r="BJ285" s="32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9"/>
      <c r="CA285" s="3"/>
      <c r="CB285" s="3"/>
      <c r="CC285" s="3"/>
    </row>
    <row r="286" spans="1:81" ht="16.149999999999999" customHeight="1">
      <c r="A286" s="1"/>
      <c r="B286" s="85"/>
      <c r="C286" s="1"/>
      <c r="D286" s="169"/>
      <c r="E286" s="1"/>
      <c r="F286" s="86"/>
      <c r="G286" s="257" t="s">
        <v>139</v>
      </c>
      <c r="H286" s="258"/>
      <c r="I286" s="258"/>
      <c r="J286" s="258"/>
      <c r="K286" s="259"/>
      <c r="L286" s="257" t="s">
        <v>141</v>
      </c>
      <c r="M286" s="258"/>
      <c r="N286" s="258"/>
      <c r="O286" s="263"/>
      <c r="P286" s="1"/>
      <c r="Q286" s="169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5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76"/>
      <c r="AR286" s="1"/>
      <c r="AS286" s="86"/>
      <c r="AT286" s="1"/>
      <c r="AU286" s="238">
        <v>9</v>
      </c>
      <c r="AV286" s="239"/>
      <c r="AW286" s="240"/>
      <c r="AX286" s="247" t="s">
        <v>119</v>
      </c>
      <c r="AY286" s="248"/>
      <c r="AZ286" s="248"/>
      <c r="BA286" s="248"/>
      <c r="BB286" s="248"/>
      <c r="BC286" s="248"/>
      <c r="BD286" s="249"/>
      <c r="BE286" s="33" t="s">
        <v>128</v>
      </c>
      <c r="BF286" s="26"/>
      <c r="BG286" s="26"/>
      <c r="BH286" s="26"/>
      <c r="BI286" s="26"/>
      <c r="BJ286" s="40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7"/>
      <c r="CA286" s="1"/>
      <c r="CB286" s="1"/>
      <c r="CC286" s="1"/>
    </row>
    <row r="287" spans="1:81" ht="16.149999999999999" customHeight="1" thickBot="1">
      <c r="A287" s="1"/>
      <c r="B287" s="87"/>
      <c r="C287" s="3"/>
      <c r="D287" s="171"/>
      <c r="E287" s="172"/>
      <c r="F287" s="173"/>
      <c r="G287" s="260"/>
      <c r="H287" s="261"/>
      <c r="I287" s="261"/>
      <c r="J287" s="261"/>
      <c r="K287" s="262"/>
      <c r="L287" s="260"/>
      <c r="M287" s="261"/>
      <c r="N287" s="261"/>
      <c r="O287" s="264"/>
      <c r="P287" s="1"/>
      <c r="Q287" s="169"/>
      <c r="R287" s="1"/>
      <c r="S287" s="1"/>
      <c r="T287" s="1"/>
      <c r="U287" s="1"/>
      <c r="V287" s="1"/>
      <c r="W287" s="1"/>
      <c r="X287" s="1"/>
      <c r="Y287" s="1"/>
      <c r="Z287" s="1"/>
      <c r="AA287" s="95"/>
      <c r="AB287" s="1"/>
      <c r="AC287" s="1"/>
      <c r="AD287" s="1"/>
      <c r="AE287" s="1"/>
      <c r="AF287" s="5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76"/>
      <c r="AR287" s="1"/>
      <c r="AS287" s="86"/>
      <c r="AT287" s="1"/>
      <c r="AU287" s="244"/>
      <c r="AV287" s="245"/>
      <c r="AW287" s="246"/>
      <c r="AX287" s="250"/>
      <c r="AY287" s="251"/>
      <c r="AZ287" s="251"/>
      <c r="BA287" s="251"/>
      <c r="BB287" s="251"/>
      <c r="BC287" s="251"/>
      <c r="BD287" s="252"/>
      <c r="BE287" s="34" t="s">
        <v>129</v>
      </c>
      <c r="BF287" s="18"/>
      <c r="BG287" s="18"/>
      <c r="BH287" s="18"/>
      <c r="BI287" s="18"/>
      <c r="BJ287" s="17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20"/>
      <c r="CA287" s="1"/>
      <c r="CB287" s="1"/>
      <c r="CC287" s="1"/>
    </row>
    <row r="288" spans="1:81" ht="16.149999999999999" customHeight="1">
      <c r="A288" s="1"/>
      <c r="B288" s="85"/>
      <c r="C288" s="1"/>
      <c r="D288" s="165"/>
      <c r="E288" s="166"/>
      <c r="F288" s="166"/>
      <c r="G288" s="166"/>
      <c r="H288" s="166"/>
      <c r="I288" s="166"/>
      <c r="J288" s="166"/>
      <c r="K288" s="175"/>
      <c r="L288" s="265" t="s">
        <v>145</v>
      </c>
      <c r="M288" s="266"/>
      <c r="N288" s="266"/>
      <c r="O288" s="267"/>
      <c r="P288" s="3"/>
      <c r="Q288" s="183"/>
      <c r="R288" s="3"/>
      <c r="S288" s="3"/>
      <c r="T288" s="3"/>
      <c r="U288" s="3"/>
      <c r="V288" s="3"/>
      <c r="W288" s="1"/>
      <c r="X288" s="1"/>
      <c r="Y288" s="1"/>
      <c r="Z288" s="1"/>
      <c r="AA288" s="1"/>
      <c r="AB288" s="1"/>
      <c r="AC288" s="1"/>
      <c r="AD288" s="97" t="s">
        <v>124</v>
      </c>
      <c r="AE288" s="1"/>
      <c r="AF288" s="1"/>
      <c r="AG288" s="5"/>
      <c r="AH288" s="1"/>
      <c r="AI288" s="1"/>
      <c r="AJ288" s="1"/>
      <c r="AK288" s="1"/>
      <c r="AL288" s="1"/>
      <c r="AM288" s="1"/>
      <c r="AN288" s="1"/>
      <c r="AO288" s="1"/>
      <c r="AP288" s="1"/>
      <c r="AQ288" s="176"/>
      <c r="AR288" s="1"/>
      <c r="AS288" s="86"/>
      <c r="AT288" s="1"/>
      <c r="AU288" s="51"/>
      <c r="AV288" s="53">
        <v>10</v>
      </c>
      <c r="AW288" s="54"/>
      <c r="AX288" s="24"/>
      <c r="AY288" s="24"/>
      <c r="AZ288" s="21"/>
      <c r="BA288" s="21" t="s">
        <v>121</v>
      </c>
      <c r="BB288" s="24"/>
      <c r="BC288" s="24"/>
      <c r="BD288" s="25"/>
      <c r="BE288" s="17" t="s">
        <v>130</v>
      </c>
      <c r="BF288" s="18"/>
      <c r="BG288" s="18"/>
      <c r="BH288" s="18"/>
      <c r="BI288" s="18"/>
      <c r="BJ288" s="17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20"/>
      <c r="CA288" s="1"/>
      <c r="CB288" s="1"/>
      <c r="CC288" s="1"/>
    </row>
    <row r="289" spans="1:81" ht="16.149999999999999" customHeight="1">
      <c r="A289" s="1"/>
      <c r="B289" s="85"/>
      <c r="C289" s="1"/>
      <c r="D289" s="169"/>
      <c r="E289" s="1" t="s">
        <v>143</v>
      </c>
      <c r="F289" s="1"/>
      <c r="G289" s="1"/>
      <c r="H289" s="1"/>
      <c r="I289" s="1"/>
      <c r="J289" s="1"/>
      <c r="K289" s="176"/>
      <c r="L289" s="268"/>
      <c r="M289" s="269"/>
      <c r="N289" s="269"/>
      <c r="O289" s="270"/>
      <c r="P289" s="1"/>
      <c r="Q289" s="169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5"/>
      <c r="AG289" s="88"/>
      <c r="AH289" s="1"/>
      <c r="AI289" s="1"/>
      <c r="AJ289" s="1"/>
      <c r="AK289" s="1"/>
      <c r="AL289" s="1"/>
      <c r="AM289" s="1"/>
      <c r="AN289" s="1"/>
      <c r="AO289" s="1"/>
      <c r="AP289" s="1"/>
      <c r="AQ289" s="176"/>
      <c r="AR289" s="1"/>
      <c r="AS289" s="86"/>
      <c r="AT289" s="1"/>
      <c r="AU289" s="51"/>
      <c r="AV289" s="53">
        <v>11</v>
      </c>
      <c r="AW289" s="54"/>
      <c r="AX289" s="24"/>
      <c r="AY289" s="24"/>
      <c r="AZ289" s="21"/>
      <c r="BA289" s="21" t="s">
        <v>122</v>
      </c>
      <c r="BB289" s="24"/>
      <c r="BC289" s="24"/>
      <c r="BD289" s="25"/>
      <c r="BE289" s="32" t="s">
        <v>131</v>
      </c>
      <c r="BF289" s="28"/>
      <c r="BG289" s="28"/>
      <c r="BH289" s="28"/>
      <c r="BI289" s="28"/>
      <c r="BJ289" s="32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9"/>
      <c r="CA289" s="1"/>
      <c r="CB289" s="1"/>
      <c r="CC289" s="1"/>
    </row>
    <row r="290" spans="1:81" ht="16.149999999999999" customHeight="1" thickBot="1">
      <c r="A290" s="1"/>
      <c r="B290" s="85"/>
      <c r="C290" s="1"/>
      <c r="D290" s="171"/>
      <c r="E290" s="172"/>
      <c r="F290" s="172"/>
      <c r="G290" s="172"/>
      <c r="H290" s="172"/>
      <c r="I290" s="172"/>
      <c r="J290" s="172"/>
      <c r="K290" s="177"/>
      <c r="L290" s="271"/>
      <c r="M290" s="261"/>
      <c r="N290" s="261"/>
      <c r="O290" s="264"/>
      <c r="P290" s="1"/>
      <c r="Q290" s="169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76"/>
      <c r="AR290" s="1"/>
      <c r="AS290" s="86"/>
      <c r="AT290" s="1"/>
      <c r="AU290" s="238">
        <v>12</v>
      </c>
      <c r="AV290" s="239"/>
      <c r="AW290" s="240"/>
      <c r="AX290" s="247" t="s">
        <v>123</v>
      </c>
      <c r="AY290" s="248"/>
      <c r="AZ290" s="248"/>
      <c r="BA290" s="248"/>
      <c r="BB290" s="248"/>
      <c r="BC290" s="248"/>
      <c r="BD290" s="249"/>
      <c r="BE290" s="33" t="s">
        <v>132</v>
      </c>
      <c r="BF290" s="26"/>
      <c r="BG290" s="26"/>
      <c r="BH290" s="26"/>
      <c r="BI290" s="26"/>
      <c r="BJ290" s="40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7"/>
      <c r="CA290" s="1"/>
      <c r="CB290" s="1"/>
      <c r="CC290" s="1"/>
    </row>
    <row r="291" spans="1:81" ht="16.149999999999999" customHeight="1">
      <c r="A291" s="1"/>
      <c r="B291" s="85"/>
      <c r="C291" s="1"/>
      <c r="D291" s="165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75"/>
      <c r="P291" s="1"/>
      <c r="Q291" s="169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76"/>
      <c r="AR291" s="1"/>
      <c r="AS291" s="86"/>
      <c r="AT291" s="1"/>
      <c r="AU291" s="244"/>
      <c r="AV291" s="245"/>
      <c r="AW291" s="246"/>
      <c r="AX291" s="250"/>
      <c r="AY291" s="251"/>
      <c r="AZ291" s="251"/>
      <c r="BA291" s="251"/>
      <c r="BB291" s="251"/>
      <c r="BC291" s="251"/>
      <c r="BD291" s="252"/>
      <c r="BE291" s="34" t="s">
        <v>133</v>
      </c>
      <c r="BF291" s="18"/>
      <c r="BG291" s="18"/>
      <c r="BH291" s="18"/>
      <c r="BI291" s="18"/>
      <c r="BJ291" s="17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20"/>
      <c r="CA291" s="1"/>
      <c r="CB291" s="1"/>
      <c r="CC291" s="1"/>
    </row>
    <row r="292" spans="1:81" ht="16.149999999999999" customHeight="1">
      <c r="A292" s="1"/>
      <c r="B292" s="85"/>
      <c r="C292" s="1"/>
      <c r="D292" s="169"/>
      <c r="E292" s="1"/>
      <c r="F292" s="1"/>
      <c r="G292" s="95"/>
      <c r="H292" s="1"/>
      <c r="I292" s="95" t="s">
        <v>121</v>
      </c>
      <c r="J292" s="1"/>
      <c r="K292" s="1"/>
      <c r="L292" s="1"/>
      <c r="M292" s="1"/>
      <c r="N292" s="1"/>
      <c r="O292" s="176"/>
      <c r="P292" s="1"/>
      <c r="Q292" s="169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76"/>
      <c r="AR292" s="1"/>
      <c r="AS292" s="86"/>
      <c r="AT292" s="1"/>
      <c r="AU292" s="51"/>
      <c r="AV292" s="53">
        <v>13</v>
      </c>
      <c r="AW292" s="54"/>
      <c r="AX292" s="24"/>
      <c r="AY292" s="24"/>
      <c r="AZ292" s="21"/>
      <c r="BA292" s="21" t="s">
        <v>124</v>
      </c>
      <c r="BB292" s="24"/>
      <c r="BC292" s="24"/>
      <c r="BD292" s="25"/>
      <c r="BE292" s="17" t="s">
        <v>134</v>
      </c>
      <c r="BF292" s="18"/>
      <c r="BG292" s="18"/>
      <c r="BH292" s="18"/>
      <c r="BI292" s="18"/>
      <c r="BJ292" s="17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20"/>
      <c r="CA292" s="1"/>
      <c r="CB292" s="1"/>
      <c r="CC292" s="1"/>
    </row>
    <row r="293" spans="1:81" ht="16.149999999999999" customHeight="1">
      <c r="A293" s="1"/>
      <c r="B293" s="85"/>
      <c r="C293" s="1"/>
      <c r="D293" s="169"/>
      <c r="E293" s="1"/>
      <c r="F293" s="1"/>
      <c r="G293" s="1"/>
      <c r="H293" s="1"/>
      <c r="I293" s="95" t="s">
        <v>144</v>
      </c>
      <c r="J293" s="1"/>
      <c r="K293" s="1"/>
      <c r="L293" s="1"/>
      <c r="M293" s="1"/>
      <c r="N293" s="1"/>
      <c r="O293" s="176"/>
      <c r="P293" s="1"/>
      <c r="Q293" s="169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76"/>
      <c r="AR293" s="1"/>
      <c r="AS293" s="86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</row>
    <row r="294" spans="1:81" ht="16.149999999999999" customHeight="1" thickBot="1">
      <c r="A294" s="1"/>
      <c r="B294" s="85"/>
      <c r="C294" s="1"/>
      <c r="D294" s="171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7"/>
      <c r="P294" s="1"/>
      <c r="Q294" s="169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76"/>
      <c r="AR294" s="1"/>
      <c r="AS294" s="86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</row>
    <row r="295" spans="1:81" ht="16.149999999999999" customHeight="1">
      <c r="A295" s="1"/>
      <c r="B295" s="85"/>
      <c r="C295" s="1"/>
      <c r="D295" s="265" t="s">
        <v>146</v>
      </c>
      <c r="E295" s="266"/>
      <c r="F295" s="266"/>
      <c r="G295" s="266"/>
      <c r="H295" s="266"/>
      <c r="I295" s="267"/>
      <c r="J295" s="265" t="s">
        <v>147</v>
      </c>
      <c r="K295" s="266"/>
      <c r="L295" s="266"/>
      <c r="M295" s="266"/>
      <c r="N295" s="266"/>
      <c r="O295" s="267"/>
      <c r="P295" s="1"/>
      <c r="Q295" s="169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76"/>
      <c r="AR295" s="1"/>
      <c r="AS295" s="86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</row>
    <row r="296" spans="1:81" ht="16.149999999999999" customHeight="1">
      <c r="A296" s="1"/>
      <c r="B296" s="85"/>
      <c r="C296" s="1"/>
      <c r="D296" s="268"/>
      <c r="E296" s="269"/>
      <c r="F296" s="269"/>
      <c r="G296" s="269"/>
      <c r="H296" s="269"/>
      <c r="I296" s="270"/>
      <c r="J296" s="268"/>
      <c r="K296" s="269"/>
      <c r="L296" s="269"/>
      <c r="M296" s="269"/>
      <c r="N296" s="269"/>
      <c r="O296" s="270"/>
      <c r="P296" s="1"/>
      <c r="Q296" s="169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76"/>
      <c r="AR296" s="1"/>
      <c r="AS296" s="86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</row>
    <row r="297" spans="1:81" ht="16.149999999999999" customHeight="1" thickBot="1">
      <c r="A297" s="1"/>
      <c r="B297" s="85"/>
      <c r="C297" s="1"/>
      <c r="D297" s="271"/>
      <c r="E297" s="261"/>
      <c r="F297" s="261"/>
      <c r="G297" s="261"/>
      <c r="H297" s="261"/>
      <c r="I297" s="264"/>
      <c r="J297" s="271"/>
      <c r="K297" s="261"/>
      <c r="L297" s="261"/>
      <c r="M297" s="261"/>
      <c r="N297" s="261"/>
      <c r="O297" s="264"/>
      <c r="P297" s="1"/>
      <c r="Q297" s="171"/>
      <c r="R297" s="17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  <c r="AN297" s="172"/>
      <c r="AO297" s="172"/>
      <c r="AP297" s="172"/>
      <c r="AQ297" s="177"/>
      <c r="AR297" s="1"/>
      <c r="AS297" s="86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</row>
    <row r="298" spans="1:81" ht="16.149999999999999" customHeight="1">
      <c r="A298" s="1"/>
      <c r="B298" s="8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86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</row>
    <row r="299" spans="1:81" ht="16.149999999999999" customHeight="1">
      <c r="A299" s="1"/>
      <c r="B299" s="89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</row>
    <row r="300" spans="1:81" ht="16.149999999999999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</row>
    <row r="301" spans="1:81" ht="16.149999999999999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</row>
    <row r="302" spans="1:81" ht="16.149999999999999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</row>
    <row r="303" spans="1:81" ht="16.149999999999999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</row>
    <row r="304" spans="1:81" ht="16.149999999999999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</row>
    <row r="305" spans="1:81" ht="16.149999999999999" customHeight="1">
      <c r="A305" s="1"/>
      <c r="B305" s="1"/>
      <c r="C305" s="4" t="s">
        <v>148</v>
      </c>
      <c r="D305" s="1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</row>
    <row r="306" spans="1:81" ht="9" customHeight="1" thickBot="1">
      <c r="A306" s="1"/>
      <c r="B306" s="1"/>
      <c r="C306" s="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</row>
    <row r="307" spans="1:81" ht="16.149999999999999" customHeight="1">
      <c r="A307" s="1"/>
      <c r="B307" s="178"/>
      <c r="C307" s="185"/>
      <c r="D307" s="165"/>
      <c r="E307" s="166"/>
      <c r="F307" s="166"/>
      <c r="G307" s="166"/>
      <c r="H307" s="166"/>
      <c r="I307" s="166"/>
      <c r="J307" s="166"/>
      <c r="K307" s="166"/>
      <c r="L307" s="166"/>
      <c r="M307" s="175"/>
      <c r="N307" s="80"/>
      <c r="O307" s="81"/>
      <c r="P307" s="81"/>
      <c r="Q307" s="81"/>
      <c r="R307" s="81"/>
      <c r="S307" s="81"/>
      <c r="T307" s="81"/>
      <c r="U307" s="155"/>
      <c r="V307" s="156"/>
      <c r="W307" s="156"/>
      <c r="X307" s="156"/>
      <c r="Y307" s="156"/>
      <c r="Z307" s="156"/>
      <c r="AA307" s="157"/>
      <c r="AB307" s="158"/>
      <c r="AC307" s="156"/>
      <c r="AD307" s="156"/>
      <c r="AE307" s="156"/>
      <c r="AF307" s="156"/>
      <c r="AG307" s="156"/>
      <c r="AH307" s="157"/>
      <c r="AI307" s="158"/>
      <c r="AJ307" s="156"/>
      <c r="AK307" s="156"/>
      <c r="AL307" s="156"/>
      <c r="AM307" s="156"/>
      <c r="AN307" s="156"/>
      <c r="AO307" s="159"/>
      <c r="AP307" s="155"/>
      <c r="AQ307" s="159"/>
      <c r="AR307" s="155"/>
      <c r="AS307" s="159"/>
      <c r="AT307" s="1"/>
      <c r="AU307" s="41"/>
      <c r="AV307" s="42" t="s">
        <v>108</v>
      </c>
      <c r="AW307" s="43"/>
      <c r="AX307" s="42"/>
      <c r="AY307" s="42"/>
      <c r="AZ307" s="42"/>
      <c r="BA307" s="42" t="s">
        <v>13</v>
      </c>
      <c r="BB307" s="42"/>
      <c r="BC307" s="42"/>
      <c r="BD307" s="43"/>
      <c r="BE307" s="44" t="s">
        <v>24</v>
      </c>
      <c r="BF307" s="42"/>
      <c r="BG307" s="42"/>
      <c r="BH307" s="42"/>
      <c r="BI307" s="42"/>
      <c r="BJ307" s="42"/>
      <c r="BK307" s="42"/>
      <c r="BL307" s="42"/>
      <c r="BM307" s="42"/>
      <c r="BN307" s="42"/>
      <c r="BO307" s="42"/>
      <c r="BP307" s="42"/>
      <c r="BQ307" s="42"/>
      <c r="BR307" s="42"/>
      <c r="BS307" s="42"/>
      <c r="BT307" s="42"/>
      <c r="BU307" s="42"/>
      <c r="BV307" s="42"/>
      <c r="BW307" s="42"/>
      <c r="BX307" s="42"/>
      <c r="BY307" s="42"/>
      <c r="BZ307" s="43"/>
      <c r="CA307" s="1"/>
      <c r="CB307" s="1"/>
      <c r="CC307" s="1"/>
    </row>
    <row r="308" spans="1:81" ht="16.149999999999999" customHeight="1" thickBot="1">
      <c r="A308" s="1"/>
      <c r="B308" s="180"/>
      <c r="C308" s="186"/>
      <c r="D308" s="171"/>
      <c r="E308" s="172"/>
      <c r="F308" s="172"/>
      <c r="G308" s="172"/>
      <c r="H308" s="172"/>
      <c r="I308" s="172"/>
      <c r="J308" s="172"/>
      <c r="K308" s="172"/>
      <c r="L308" s="172"/>
      <c r="M308" s="177"/>
      <c r="N308" s="90"/>
      <c r="O308" s="92"/>
      <c r="P308" s="92"/>
      <c r="Q308" s="92"/>
      <c r="R308" s="92"/>
      <c r="S308" s="92"/>
      <c r="T308" s="92"/>
      <c r="U308" s="160"/>
      <c r="V308" s="161"/>
      <c r="W308" s="161"/>
      <c r="X308" s="161"/>
      <c r="Y308" s="161"/>
      <c r="Z308" s="161"/>
      <c r="AA308" s="162"/>
      <c r="AB308" s="163"/>
      <c r="AC308" s="161"/>
      <c r="AD308" s="161"/>
      <c r="AE308" s="161"/>
      <c r="AF308" s="161"/>
      <c r="AG308" s="161"/>
      <c r="AH308" s="162"/>
      <c r="AI308" s="163"/>
      <c r="AJ308" s="161"/>
      <c r="AK308" s="161"/>
      <c r="AL308" s="161"/>
      <c r="AM308" s="161"/>
      <c r="AN308" s="161"/>
      <c r="AO308" s="164"/>
      <c r="AP308" s="160"/>
      <c r="AQ308" s="164"/>
      <c r="AR308" s="160"/>
      <c r="AS308" s="164"/>
      <c r="AT308" s="1"/>
      <c r="AU308" s="51"/>
      <c r="AV308" s="53">
        <v>1</v>
      </c>
      <c r="AW308" s="54"/>
      <c r="AX308" s="24"/>
      <c r="AY308" s="24"/>
      <c r="AZ308" s="21"/>
      <c r="BA308" s="21" t="s">
        <v>61</v>
      </c>
      <c r="BB308" s="24"/>
      <c r="BC308" s="24"/>
      <c r="BD308" s="25"/>
      <c r="BE308" s="17" t="s">
        <v>109</v>
      </c>
      <c r="BF308" s="18"/>
      <c r="BG308" s="18"/>
      <c r="BH308" s="18"/>
      <c r="BI308" s="18"/>
      <c r="BJ308" s="17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20"/>
      <c r="CA308" s="1"/>
      <c r="CB308" s="1"/>
      <c r="CC308" s="1"/>
    </row>
    <row r="309" spans="1:81" ht="16.149999999999999" customHeight="1" thickBot="1">
      <c r="A309" s="1"/>
      <c r="B309" s="83"/>
      <c r="C309" s="1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4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84"/>
      <c r="AT309" s="1"/>
      <c r="AU309" s="51"/>
      <c r="AV309" s="53">
        <v>2</v>
      </c>
      <c r="AW309" s="54"/>
      <c r="AX309" s="24"/>
      <c r="AY309" s="24"/>
      <c r="AZ309" s="21"/>
      <c r="BA309" s="21" t="s">
        <v>110</v>
      </c>
      <c r="BB309" s="24"/>
      <c r="BC309" s="24"/>
      <c r="BD309" s="25"/>
      <c r="BE309" s="17" t="s">
        <v>111</v>
      </c>
      <c r="BF309" s="18"/>
      <c r="BG309" s="18"/>
      <c r="BH309" s="18"/>
      <c r="BI309" s="18"/>
      <c r="BJ309" s="17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20"/>
      <c r="CA309" s="1"/>
      <c r="CB309" s="1"/>
      <c r="CC309" s="1"/>
    </row>
    <row r="310" spans="1:81" ht="16.149999999999999" customHeight="1" thickBot="1">
      <c r="A310" s="1"/>
      <c r="B310" s="83"/>
      <c r="C310" s="187"/>
      <c r="D310" s="166"/>
      <c r="E310" s="166"/>
      <c r="F310" s="166"/>
      <c r="G310" s="166"/>
      <c r="H310" s="166"/>
      <c r="I310" s="166"/>
      <c r="J310" s="166"/>
      <c r="K310" s="175"/>
      <c r="L310" s="1"/>
      <c r="M310" s="1"/>
      <c r="N310" s="1"/>
      <c r="O310" s="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4"/>
      <c r="AH310" s="3"/>
      <c r="AI310" s="3"/>
      <c r="AJ310" s="3"/>
      <c r="AK310" s="3"/>
      <c r="AL310" s="3"/>
      <c r="AM310" s="3"/>
      <c r="AN310" s="285" t="s">
        <v>152</v>
      </c>
      <c r="AO310" s="286"/>
      <c r="AP310" s="286"/>
      <c r="AQ310" s="286"/>
      <c r="AR310" s="287"/>
      <c r="AS310" s="84"/>
      <c r="AT310" s="1"/>
      <c r="AU310" s="51"/>
      <c r="AV310" s="53">
        <v>3</v>
      </c>
      <c r="AW310" s="54"/>
      <c r="AX310" s="24"/>
      <c r="AY310" s="24"/>
      <c r="AZ310" s="21"/>
      <c r="BA310" s="21" t="s">
        <v>112</v>
      </c>
      <c r="BB310" s="24"/>
      <c r="BC310" s="24"/>
      <c r="BD310" s="25"/>
      <c r="BE310" s="17" t="s">
        <v>113</v>
      </c>
      <c r="BF310" s="18"/>
      <c r="BG310" s="18"/>
      <c r="BH310" s="18"/>
      <c r="BI310" s="18"/>
      <c r="BJ310" s="17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20"/>
      <c r="CA310" s="1"/>
      <c r="CB310" s="1"/>
      <c r="CC310" s="1"/>
    </row>
    <row r="311" spans="1:81" ht="16.149999999999999" customHeight="1" thickBot="1">
      <c r="A311" s="1"/>
      <c r="B311" s="83"/>
      <c r="C311" s="169"/>
      <c r="D311" s="85"/>
      <c r="E311" s="1"/>
      <c r="F311" s="1"/>
      <c r="G311" s="1"/>
      <c r="H311" s="1"/>
      <c r="I311" s="1"/>
      <c r="J311" s="1"/>
      <c r="K311" s="176"/>
      <c r="L311" s="1"/>
      <c r="M311" s="1"/>
      <c r="N311" s="165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  <c r="AD311" s="156"/>
      <c r="AE311" s="156"/>
      <c r="AF311" s="156"/>
      <c r="AG311" s="182"/>
      <c r="AH311" s="156"/>
      <c r="AI311" s="156"/>
      <c r="AJ311" s="156"/>
      <c r="AK311" s="156"/>
      <c r="AL311" s="159"/>
      <c r="AM311" s="3"/>
      <c r="AN311" s="1"/>
      <c r="AO311" s="1"/>
      <c r="AP311" s="1"/>
      <c r="AQ311" s="1"/>
      <c r="AR311" s="1"/>
      <c r="AS311" s="84"/>
      <c r="AT311" s="1"/>
      <c r="AU311" s="51"/>
      <c r="AV311" s="53">
        <v>4</v>
      </c>
      <c r="AW311" s="54"/>
      <c r="AX311" s="24"/>
      <c r="AY311" s="24"/>
      <c r="AZ311" s="21"/>
      <c r="BA311" s="21" t="s">
        <v>114</v>
      </c>
      <c r="BB311" s="24"/>
      <c r="BC311" s="24"/>
      <c r="BD311" s="25"/>
      <c r="BE311" s="17" t="s">
        <v>115</v>
      </c>
      <c r="BF311" s="18"/>
      <c r="BG311" s="18"/>
      <c r="BH311" s="18"/>
      <c r="BI311" s="18"/>
      <c r="BJ311" s="17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20"/>
      <c r="CA311" s="1"/>
      <c r="CB311" s="1"/>
      <c r="CC311" s="1"/>
    </row>
    <row r="312" spans="1:81" ht="16.149999999999999" customHeight="1">
      <c r="A312" s="1"/>
      <c r="B312" s="83"/>
      <c r="C312" s="169"/>
      <c r="D312" s="257" t="s">
        <v>149</v>
      </c>
      <c r="E312" s="258"/>
      <c r="F312" s="258"/>
      <c r="G312" s="258"/>
      <c r="H312" s="258"/>
      <c r="I312" s="258"/>
      <c r="J312" s="259"/>
      <c r="K312" s="176"/>
      <c r="L312" s="1"/>
      <c r="M312" s="1"/>
      <c r="N312" s="169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4"/>
      <c r="AH312" s="3"/>
      <c r="AI312" s="3"/>
      <c r="AJ312" s="3"/>
      <c r="AK312" s="3"/>
      <c r="AL312" s="184"/>
      <c r="AM312" s="3"/>
      <c r="AN312" s="155"/>
      <c r="AO312" s="157"/>
      <c r="AP312" s="156"/>
      <c r="AQ312" s="158"/>
      <c r="AR312" s="159"/>
      <c r="AS312" s="84"/>
      <c r="AT312" s="1"/>
      <c r="AU312" s="51"/>
      <c r="AV312" s="53">
        <v>5</v>
      </c>
      <c r="AW312" s="54"/>
      <c r="AX312" s="24"/>
      <c r="AY312" s="24"/>
      <c r="AZ312" s="21"/>
      <c r="BA312" s="21" t="s">
        <v>63</v>
      </c>
      <c r="BB312" s="24"/>
      <c r="BC312" s="24"/>
      <c r="BD312" s="25"/>
      <c r="BE312" s="17" t="s">
        <v>116</v>
      </c>
      <c r="BF312" s="18"/>
      <c r="BG312" s="18"/>
      <c r="BH312" s="18"/>
      <c r="BI312" s="18"/>
      <c r="BJ312" s="17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20"/>
      <c r="CA312" s="1"/>
      <c r="CB312" s="1"/>
      <c r="CC312" s="1"/>
    </row>
    <row r="313" spans="1:81" ht="16.149999999999999" customHeight="1" thickBot="1">
      <c r="A313" s="1"/>
      <c r="B313" s="83"/>
      <c r="C313" s="169"/>
      <c r="D313" s="282"/>
      <c r="E313" s="283"/>
      <c r="F313" s="283"/>
      <c r="G313" s="283"/>
      <c r="H313" s="283"/>
      <c r="I313" s="283"/>
      <c r="J313" s="284"/>
      <c r="K313" s="176"/>
      <c r="L313" s="1"/>
      <c r="M313" s="1"/>
      <c r="N313" s="169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4"/>
      <c r="AH313" s="3"/>
      <c r="AI313" s="3"/>
      <c r="AJ313" s="3"/>
      <c r="AK313" s="3"/>
      <c r="AL313" s="184"/>
      <c r="AM313" s="3"/>
      <c r="AN313" s="160"/>
      <c r="AO313" s="162"/>
      <c r="AP313" s="161"/>
      <c r="AQ313" s="163"/>
      <c r="AR313" s="164"/>
      <c r="AS313" s="84"/>
      <c r="AT313" s="1"/>
      <c r="AU313" s="238">
        <v>6</v>
      </c>
      <c r="AV313" s="239"/>
      <c r="AW313" s="240"/>
      <c r="AX313" s="247" t="s">
        <v>153</v>
      </c>
      <c r="AY313" s="248"/>
      <c r="AZ313" s="248"/>
      <c r="BA313" s="248"/>
      <c r="BB313" s="248"/>
      <c r="BC313" s="248"/>
      <c r="BD313" s="249"/>
      <c r="BE313" s="17" t="s">
        <v>732</v>
      </c>
      <c r="BF313" s="18"/>
      <c r="BG313" s="18"/>
      <c r="BH313" s="18"/>
      <c r="BI313" s="18"/>
      <c r="BJ313" s="17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20"/>
      <c r="CA313" s="1"/>
      <c r="CB313" s="1"/>
      <c r="CC313" s="1"/>
    </row>
    <row r="314" spans="1:81" ht="16.149999999999999" customHeight="1" thickBot="1">
      <c r="A314" s="1"/>
      <c r="B314" s="83"/>
      <c r="C314" s="169"/>
      <c r="D314" s="85"/>
      <c r="E314" s="1"/>
      <c r="F314" s="1"/>
      <c r="G314" s="1"/>
      <c r="H314" s="1"/>
      <c r="I314" s="1"/>
      <c r="J314" s="1"/>
      <c r="K314" s="176"/>
      <c r="L314" s="1"/>
      <c r="M314" s="1"/>
      <c r="N314" s="169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4"/>
      <c r="AH314" s="3"/>
      <c r="AI314" s="3"/>
      <c r="AJ314" s="3"/>
      <c r="AK314" s="3"/>
      <c r="AL314" s="184"/>
      <c r="AM314" s="3"/>
      <c r="AN314" s="3"/>
      <c r="AO314" s="3"/>
      <c r="AP314" s="3"/>
      <c r="AQ314" s="3"/>
      <c r="AR314" s="3"/>
      <c r="AS314" s="84"/>
      <c r="AT314" s="1"/>
      <c r="AU314" s="241"/>
      <c r="AV314" s="242"/>
      <c r="AW314" s="243"/>
      <c r="AX314" s="254"/>
      <c r="AY314" s="255"/>
      <c r="AZ314" s="255"/>
      <c r="BA314" s="255"/>
      <c r="BB314" s="255"/>
      <c r="BC314" s="255"/>
      <c r="BD314" s="256"/>
      <c r="BE314" s="17" t="s">
        <v>160</v>
      </c>
      <c r="BF314" s="18"/>
      <c r="BG314" s="18"/>
      <c r="BH314" s="18"/>
      <c r="BI314" s="18"/>
      <c r="BJ314" s="17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20"/>
      <c r="CA314" s="1"/>
      <c r="CB314" s="1"/>
      <c r="CC314" s="1"/>
    </row>
    <row r="315" spans="1:81" ht="16.149999999999999" customHeight="1">
      <c r="A315" s="1"/>
      <c r="B315" s="83"/>
      <c r="C315" s="169"/>
      <c r="D315" s="257" t="s">
        <v>730</v>
      </c>
      <c r="E315" s="258"/>
      <c r="F315" s="258"/>
      <c r="G315" s="258"/>
      <c r="H315" s="258"/>
      <c r="I315" s="258"/>
      <c r="J315" s="259"/>
      <c r="K315" s="176"/>
      <c r="L315" s="1"/>
      <c r="M315" s="1"/>
      <c r="N315" s="169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4"/>
      <c r="AH315" s="3"/>
      <c r="AI315" s="3"/>
      <c r="AJ315" s="3"/>
      <c r="AK315" s="3"/>
      <c r="AL315" s="184"/>
      <c r="AM315" s="3"/>
      <c r="AN315" s="3"/>
      <c r="AO315" s="3"/>
      <c r="AP315" s="3"/>
      <c r="AQ315" s="155"/>
      <c r="AR315" s="159"/>
      <c r="AS315" s="84"/>
      <c r="AT315" s="1"/>
      <c r="AU315" s="244"/>
      <c r="AV315" s="245"/>
      <c r="AW315" s="246"/>
      <c r="AX315" s="250"/>
      <c r="AY315" s="251"/>
      <c r="AZ315" s="251"/>
      <c r="BA315" s="251"/>
      <c r="BB315" s="251"/>
      <c r="BC315" s="251"/>
      <c r="BD315" s="252"/>
      <c r="BE315" s="298" t="s">
        <v>750</v>
      </c>
      <c r="BF315" s="299"/>
      <c r="BG315" s="299"/>
      <c r="BH315" s="299"/>
      <c r="BI315" s="299"/>
      <c r="BJ315" s="299"/>
      <c r="BK315" s="299"/>
      <c r="BL315" s="299"/>
      <c r="BM315" s="299"/>
      <c r="BN315" s="299"/>
      <c r="BO315" s="299"/>
      <c r="BP315" s="299"/>
      <c r="BQ315" s="299"/>
      <c r="BR315" s="18"/>
      <c r="BS315" s="18"/>
      <c r="BT315" s="18"/>
      <c r="BU315" s="18"/>
      <c r="BV315" s="18"/>
      <c r="BW315" s="18"/>
      <c r="BX315" s="18"/>
      <c r="BY315" s="18"/>
      <c r="BZ315" s="20"/>
      <c r="CA315" s="1"/>
      <c r="CB315" s="1"/>
      <c r="CC315" s="1"/>
    </row>
    <row r="316" spans="1:81" ht="16.149999999999999" customHeight="1" thickBot="1">
      <c r="A316" s="1"/>
      <c r="B316" s="85"/>
      <c r="C316" s="169"/>
      <c r="D316" s="282"/>
      <c r="E316" s="283"/>
      <c r="F316" s="283"/>
      <c r="G316" s="283"/>
      <c r="H316" s="283"/>
      <c r="I316" s="283"/>
      <c r="J316" s="284"/>
      <c r="K316" s="176"/>
      <c r="L316" s="1"/>
      <c r="M316" s="1"/>
      <c r="N316" s="16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5"/>
      <c r="AG316" s="1"/>
      <c r="AH316" s="1"/>
      <c r="AI316" s="1"/>
      <c r="AJ316" s="1"/>
      <c r="AK316" s="1"/>
      <c r="AL316" s="176"/>
      <c r="AM316" s="1"/>
      <c r="AN316" s="3"/>
      <c r="AO316" s="3"/>
      <c r="AP316" s="3"/>
      <c r="AQ316" s="160"/>
      <c r="AR316" s="164"/>
      <c r="AS316" s="86"/>
      <c r="AT316" s="1"/>
      <c r="AU316" s="51"/>
      <c r="AV316" s="53">
        <v>7</v>
      </c>
      <c r="AW316" s="54"/>
      <c r="AX316" s="24"/>
      <c r="AY316" s="24"/>
      <c r="AZ316" s="21"/>
      <c r="BA316" s="21" t="s">
        <v>151</v>
      </c>
      <c r="BB316" s="24"/>
      <c r="BC316" s="24"/>
      <c r="BD316" s="25"/>
      <c r="BE316" s="17" t="s">
        <v>161</v>
      </c>
      <c r="BF316" s="18"/>
      <c r="BG316" s="18"/>
      <c r="BH316" s="18"/>
      <c r="BI316" s="18"/>
      <c r="BJ316" s="17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20"/>
      <c r="CA316" s="1"/>
      <c r="CB316" s="1"/>
      <c r="CC316" s="1"/>
    </row>
    <row r="317" spans="1:81" ht="16.149999999999999" customHeight="1">
      <c r="A317" s="1"/>
      <c r="B317" s="87"/>
      <c r="C317" s="169"/>
      <c r="D317" s="85"/>
      <c r="E317" s="1"/>
      <c r="F317" s="1"/>
      <c r="G317" s="1"/>
      <c r="H317" s="1"/>
      <c r="I317" s="1"/>
      <c r="J317" s="1"/>
      <c r="K317" s="176"/>
      <c r="L317" s="1"/>
      <c r="M317" s="1"/>
      <c r="N317" s="16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97" t="s">
        <v>151</v>
      </c>
      <c r="AA317" s="95"/>
      <c r="AB317" s="1"/>
      <c r="AC317" s="1"/>
      <c r="AD317" s="1"/>
      <c r="AE317" s="1"/>
      <c r="AF317" s="5"/>
      <c r="AG317" s="1"/>
      <c r="AH317" s="1"/>
      <c r="AI317" s="1"/>
      <c r="AJ317" s="1"/>
      <c r="AK317" s="1"/>
      <c r="AL317" s="176"/>
      <c r="AM317" s="1"/>
      <c r="AN317" s="1"/>
      <c r="AO317" s="1"/>
      <c r="AP317" s="1"/>
      <c r="AQ317" s="1"/>
      <c r="AR317" s="1"/>
      <c r="AS317" s="86"/>
      <c r="AT317" s="1"/>
      <c r="AU317" s="51"/>
      <c r="AV317" s="53">
        <v>8</v>
      </c>
      <c r="AW317" s="54"/>
      <c r="AX317" s="24"/>
      <c r="AY317" s="24"/>
      <c r="AZ317" s="21"/>
      <c r="BA317" s="21" t="s">
        <v>154</v>
      </c>
      <c r="BB317" s="24"/>
      <c r="BC317" s="24"/>
      <c r="BD317" s="25"/>
      <c r="BE317" s="32" t="s">
        <v>162</v>
      </c>
      <c r="BF317" s="28"/>
      <c r="BG317" s="28"/>
      <c r="BH317" s="28"/>
      <c r="BI317" s="28"/>
      <c r="BJ317" s="32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9"/>
      <c r="CA317" s="1"/>
      <c r="CB317" s="1"/>
      <c r="CC317" s="1"/>
    </row>
    <row r="318" spans="1:81" ht="16.149999999999999" customHeight="1">
      <c r="A318" s="1"/>
      <c r="B318" s="85"/>
      <c r="C318" s="169"/>
      <c r="D318" s="257" t="s">
        <v>150</v>
      </c>
      <c r="E318" s="258"/>
      <c r="F318" s="258"/>
      <c r="G318" s="258"/>
      <c r="H318" s="258"/>
      <c r="I318" s="258"/>
      <c r="J318" s="259"/>
      <c r="K318" s="176"/>
      <c r="L318" s="1"/>
      <c r="M318" s="1"/>
      <c r="N318" s="169"/>
      <c r="O318" s="3"/>
      <c r="P318" s="3"/>
      <c r="Q318" s="3"/>
      <c r="R318" s="3"/>
      <c r="S318" s="3"/>
      <c r="T318" s="3"/>
      <c r="U318" s="3"/>
      <c r="V318" s="3"/>
      <c r="W318" s="1"/>
      <c r="X318" s="1"/>
      <c r="Y318" s="1"/>
      <c r="Z318" s="1"/>
      <c r="AA318" s="1"/>
      <c r="AB318" s="1"/>
      <c r="AC318" s="1"/>
      <c r="AD318" s="96"/>
      <c r="AE318" s="1"/>
      <c r="AF318" s="1"/>
      <c r="AG318" s="5"/>
      <c r="AH318" s="1"/>
      <c r="AI318" s="1"/>
      <c r="AJ318" s="1"/>
      <c r="AK318" s="1"/>
      <c r="AL318" s="176"/>
      <c r="AM318" s="1"/>
      <c r="AN318" s="1"/>
      <c r="AO318" s="1"/>
      <c r="AP318" s="1"/>
      <c r="AQ318" s="1"/>
      <c r="AR318" s="1"/>
      <c r="AS318" s="86"/>
      <c r="AT318" s="1"/>
      <c r="AU318" s="238">
        <v>9</v>
      </c>
      <c r="AV318" s="239"/>
      <c r="AW318" s="240"/>
      <c r="AX318" s="247" t="s">
        <v>155</v>
      </c>
      <c r="AY318" s="248"/>
      <c r="AZ318" s="248"/>
      <c r="BA318" s="248"/>
      <c r="BB318" s="248"/>
      <c r="BC318" s="248"/>
      <c r="BD318" s="249"/>
      <c r="BE318" s="33" t="s">
        <v>164</v>
      </c>
      <c r="BF318" s="26"/>
      <c r="BG318" s="26"/>
      <c r="BH318" s="26"/>
      <c r="BI318" s="26"/>
      <c r="BJ318" s="40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7"/>
      <c r="CA318" s="1"/>
      <c r="CB318" s="1"/>
      <c r="CC318" s="1"/>
    </row>
    <row r="319" spans="1:81" ht="16.149999999999999" customHeight="1">
      <c r="A319" s="1"/>
      <c r="B319" s="85"/>
      <c r="C319" s="169"/>
      <c r="D319" s="282"/>
      <c r="E319" s="283"/>
      <c r="F319" s="283"/>
      <c r="G319" s="283"/>
      <c r="H319" s="283"/>
      <c r="I319" s="283"/>
      <c r="J319" s="284"/>
      <c r="K319" s="176"/>
      <c r="L319" s="1"/>
      <c r="M319" s="1"/>
      <c r="N319" s="16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5"/>
      <c r="AG319" s="88"/>
      <c r="AH319" s="1"/>
      <c r="AI319" s="1"/>
      <c r="AJ319" s="1"/>
      <c r="AK319" s="1"/>
      <c r="AL319" s="176"/>
      <c r="AM319" s="1"/>
      <c r="AN319" s="1"/>
      <c r="AO319" s="1"/>
      <c r="AP319" s="1"/>
      <c r="AQ319" s="1"/>
      <c r="AR319" s="1"/>
      <c r="AS319" s="86"/>
      <c r="AT319" s="1"/>
      <c r="AU319" s="244"/>
      <c r="AV319" s="245"/>
      <c r="AW319" s="246"/>
      <c r="AX319" s="250"/>
      <c r="AY319" s="251"/>
      <c r="AZ319" s="251"/>
      <c r="BA319" s="251"/>
      <c r="BB319" s="251"/>
      <c r="BC319" s="251"/>
      <c r="BD319" s="252"/>
      <c r="BE319" s="34" t="s">
        <v>163</v>
      </c>
      <c r="BF319" s="18"/>
      <c r="BG319" s="18"/>
      <c r="BH319" s="18"/>
      <c r="BI319" s="18"/>
      <c r="BJ319" s="17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20"/>
      <c r="CA319" s="1"/>
      <c r="CB319" s="1"/>
      <c r="CC319" s="1"/>
    </row>
    <row r="320" spans="1:81" ht="16.149999999999999" customHeight="1">
      <c r="A320" s="1"/>
      <c r="B320" s="85"/>
      <c r="C320" s="169"/>
      <c r="D320" s="85"/>
      <c r="E320" s="1"/>
      <c r="F320" s="1"/>
      <c r="G320" s="1"/>
      <c r="H320" s="1"/>
      <c r="I320" s="1"/>
      <c r="J320" s="1"/>
      <c r="K320" s="176"/>
      <c r="L320" s="1"/>
      <c r="M320" s="1"/>
      <c r="N320" s="16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76"/>
      <c r="AM320" s="1"/>
      <c r="AN320" s="1"/>
      <c r="AO320" s="1"/>
      <c r="AP320" s="1"/>
      <c r="AQ320" s="1"/>
      <c r="AR320" s="1"/>
      <c r="AS320" s="86"/>
      <c r="AT320" s="1"/>
      <c r="AU320" s="51"/>
      <c r="AV320" s="53">
        <v>10</v>
      </c>
      <c r="AW320" s="54"/>
      <c r="AX320" s="24"/>
      <c r="AY320" s="24"/>
      <c r="AZ320" s="21"/>
      <c r="BA320" s="21" t="s">
        <v>156</v>
      </c>
      <c r="BB320" s="24"/>
      <c r="BC320" s="24"/>
      <c r="BD320" s="25"/>
      <c r="BE320" s="17" t="s">
        <v>165</v>
      </c>
      <c r="BF320" s="18"/>
      <c r="BG320" s="18"/>
      <c r="BH320" s="18"/>
      <c r="BI320" s="18"/>
      <c r="BJ320" s="17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20"/>
      <c r="CA320" s="1"/>
      <c r="CB320" s="1"/>
      <c r="CC320" s="1"/>
    </row>
    <row r="321" spans="1:81" ht="16.149999999999999" customHeight="1">
      <c r="A321" s="1"/>
      <c r="B321" s="85"/>
      <c r="C321" s="169"/>
      <c r="D321" s="257" t="s">
        <v>731</v>
      </c>
      <c r="E321" s="258"/>
      <c r="F321" s="258"/>
      <c r="G321" s="258"/>
      <c r="H321" s="258"/>
      <c r="I321" s="258"/>
      <c r="J321" s="259"/>
      <c r="K321" s="176"/>
      <c r="L321" s="1"/>
      <c r="M321" s="1"/>
      <c r="N321" s="16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76"/>
      <c r="AM321" s="1"/>
      <c r="AN321" s="1"/>
      <c r="AO321" s="1"/>
      <c r="AP321" s="1"/>
      <c r="AQ321" s="1"/>
      <c r="AR321" s="1"/>
      <c r="AS321" s="86"/>
      <c r="AT321" s="1"/>
      <c r="AU321" s="238">
        <v>11</v>
      </c>
      <c r="AV321" s="239"/>
      <c r="AW321" s="240"/>
      <c r="AX321" s="247" t="s">
        <v>157</v>
      </c>
      <c r="AY321" s="248"/>
      <c r="AZ321" s="248"/>
      <c r="BA321" s="248"/>
      <c r="BB321" s="248"/>
      <c r="BC321" s="248"/>
      <c r="BD321" s="249"/>
      <c r="BE321" s="32" t="s">
        <v>166</v>
      </c>
      <c r="BF321" s="28"/>
      <c r="BG321" s="28"/>
      <c r="BH321" s="28"/>
      <c r="BI321" s="28"/>
      <c r="BJ321" s="32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9"/>
      <c r="CA321" s="1"/>
      <c r="CB321" s="1"/>
      <c r="CC321" s="1"/>
    </row>
    <row r="322" spans="1:81" ht="16.149999999999999" customHeight="1">
      <c r="A322" s="1"/>
      <c r="B322" s="85"/>
      <c r="C322" s="169"/>
      <c r="D322" s="282"/>
      <c r="E322" s="283"/>
      <c r="F322" s="283"/>
      <c r="G322" s="283"/>
      <c r="H322" s="283"/>
      <c r="I322" s="283"/>
      <c r="J322" s="284"/>
      <c r="K322" s="176"/>
      <c r="L322" s="1"/>
      <c r="M322" s="1"/>
      <c r="N322" s="16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76"/>
      <c r="AM322" s="1"/>
      <c r="AN322" s="1"/>
      <c r="AO322" s="1"/>
      <c r="AP322" s="1"/>
      <c r="AQ322" s="1"/>
      <c r="AR322" s="1"/>
      <c r="AS322" s="86"/>
      <c r="AT322" s="1"/>
      <c r="AU322" s="244"/>
      <c r="AV322" s="245"/>
      <c r="AW322" s="246"/>
      <c r="AX322" s="250"/>
      <c r="AY322" s="251"/>
      <c r="AZ322" s="251"/>
      <c r="BA322" s="251"/>
      <c r="BB322" s="251"/>
      <c r="BC322" s="251"/>
      <c r="BD322" s="252"/>
      <c r="BE322" s="34" t="s">
        <v>169</v>
      </c>
      <c r="BF322" s="18"/>
      <c r="BG322" s="18"/>
      <c r="BH322" s="18"/>
      <c r="BI322" s="18"/>
      <c r="BJ322" s="17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20"/>
      <c r="CA322" s="1"/>
      <c r="CB322" s="1"/>
      <c r="CC322" s="1"/>
    </row>
    <row r="323" spans="1:81" ht="16.149999999999999" customHeight="1" thickBot="1">
      <c r="A323" s="1"/>
      <c r="B323" s="85"/>
      <c r="C323" s="169"/>
      <c r="D323" s="85"/>
      <c r="E323" s="1"/>
      <c r="F323" s="1"/>
      <c r="G323" s="1"/>
      <c r="H323" s="1"/>
      <c r="I323" s="1"/>
      <c r="J323" s="1"/>
      <c r="K323" s="176"/>
      <c r="L323" s="1"/>
      <c r="M323" s="1"/>
      <c r="N323" s="171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/>
      <c r="AD323" s="172"/>
      <c r="AE323" s="172"/>
      <c r="AF323" s="172"/>
      <c r="AG323" s="172"/>
      <c r="AH323" s="172"/>
      <c r="AI323" s="172"/>
      <c r="AJ323" s="172"/>
      <c r="AK323" s="172"/>
      <c r="AL323" s="177"/>
      <c r="AM323" s="1"/>
      <c r="AN323" s="1"/>
      <c r="AO323" s="1"/>
      <c r="AP323" s="1"/>
      <c r="AQ323" s="1"/>
      <c r="AR323" s="1"/>
      <c r="AS323" s="86"/>
      <c r="AT323" s="1"/>
      <c r="AU323" s="238">
        <v>12</v>
      </c>
      <c r="AV323" s="239"/>
      <c r="AW323" s="240"/>
      <c r="AX323" s="247" t="s">
        <v>158</v>
      </c>
      <c r="AY323" s="248"/>
      <c r="AZ323" s="248"/>
      <c r="BA323" s="248"/>
      <c r="BB323" s="248"/>
      <c r="BC323" s="248"/>
      <c r="BD323" s="249"/>
      <c r="BE323" s="33" t="s">
        <v>167</v>
      </c>
      <c r="BF323" s="26"/>
      <c r="BG323" s="26"/>
      <c r="BH323" s="26"/>
      <c r="BI323" s="26"/>
      <c r="BJ323" s="40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7"/>
      <c r="CA323" s="1"/>
      <c r="CB323" s="1"/>
      <c r="CC323" s="1"/>
    </row>
    <row r="324" spans="1:81" ht="16.149999999999999" customHeight="1" thickBot="1">
      <c r="A324" s="1"/>
      <c r="B324" s="85"/>
      <c r="C324" s="171"/>
      <c r="D324" s="172"/>
      <c r="E324" s="172"/>
      <c r="F324" s="172"/>
      <c r="G324" s="172"/>
      <c r="H324" s="172"/>
      <c r="I324" s="172"/>
      <c r="J324" s="172"/>
      <c r="K324" s="17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86"/>
      <c r="AT324" s="1"/>
      <c r="AU324" s="244"/>
      <c r="AV324" s="245"/>
      <c r="AW324" s="246"/>
      <c r="AX324" s="250"/>
      <c r="AY324" s="251"/>
      <c r="AZ324" s="251"/>
      <c r="BA324" s="251"/>
      <c r="BB324" s="251"/>
      <c r="BC324" s="251"/>
      <c r="BD324" s="252"/>
      <c r="BE324" s="36" t="s">
        <v>168</v>
      </c>
      <c r="BF324" s="28"/>
      <c r="BG324" s="28"/>
      <c r="BH324" s="28"/>
      <c r="BI324" s="28"/>
      <c r="BJ324" s="32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9"/>
      <c r="CA324" s="1"/>
      <c r="CB324" s="1"/>
      <c r="CC324" s="1"/>
    </row>
    <row r="325" spans="1:81" ht="16.149999999999999" customHeight="1" thickBot="1">
      <c r="A325" s="1"/>
      <c r="B325" s="8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86"/>
      <c r="AT325" s="1"/>
      <c r="AU325" s="238">
        <v>13</v>
      </c>
      <c r="AV325" s="239"/>
      <c r="AW325" s="240"/>
      <c r="AX325" s="247" t="s">
        <v>159</v>
      </c>
      <c r="AY325" s="248"/>
      <c r="AZ325" s="248"/>
      <c r="BA325" s="248"/>
      <c r="BB325" s="248"/>
      <c r="BC325" s="248"/>
      <c r="BD325" s="249"/>
      <c r="BE325" s="33" t="s">
        <v>32</v>
      </c>
      <c r="BF325" s="26"/>
      <c r="BG325" s="26"/>
      <c r="BH325" s="26"/>
      <c r="BI325" s="26"/>
      <c r="BJ325" s="40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7"/>
      <c r="CA325" s="1"/>
      <c r="CB325" s="1"/>
      <c r="CC325" s="1"/>
    </row>
    <row r="326" spans="1:81" ht="16.149999999999999" customHeight="1">
      <c r="A326" s="1"/>
      <c r="B326" s="8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65" t="s">
        <v>174</v>
      </c>
      <c r="X326" s="266"/>
      <c r="Y326" s="266"/>
      <c r="Z326" s="266"/>
      <c r="AA326" s="267"/>
      <c r="AB326" s="265" t="s">
        <v>175</v>
      </c>
      <c r="AC326" s="266"/>
      <c r="AD326" s="266"/>
      <c r="AE326" s="266"/>
      <c r="AF326" s="267"/>
      <c r="AG326" s="265" t="s">
        <v>176</v>
      </c>
      <c r="AH326" s="266"/>
      <c r="AI326" s="266"/>
      <c r="AJ326" s="267"/>
      <c r="AK326" s="266" t="s">
        <v>177</v>
      </c>
      <c r="AL326" s="266"/>
      <c r="AM326" s="266"/>
      <c r="AN326" s="266"/>
      <c r="AO326" s="266"/>
      <c r="AP326" s="266"/>
      <c r="AQ326" s="267"/>
      <c r="AR326" s="1"/>
      <c r="AS326" s="86"/>
      <c r="AT326" s="1"/>
      <c r="AU326" s="241"/>
      <c r="AV326" s="242"/>
      <c r="AW326" s="243"/>
      <c r="AX326" s="254"/>
      <c r="AY326" s="255"/>
      <c r="AZ326" s="255"/>
      <c r="BA326" s="255"/>
      <c r="BB326" s="255"/>
      <c r="BC326" s="255"/>
      <c r="BD326" s="256"/>
      <c r="BE326" s="36" t="s">
        <v>170</v>
      </c>
      <c r="BF326" s="28"/>
      <c r="BG326" s="28"/>
      <c r="BH326" s="28"/>
      <c r="BI326" s="28"/>
      <c r="BJ326" s="32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9"/>
      <c r="CA326" s="1"/>
      <c r="CB326" s="1"/>
      <c r="CC326" s="1"/>
    </row>
    <row r="327" spans="1:81" ht="16.149999999999999" customHeight="1" thickBot="1">
      <c r="A327" s="1"/>
      <c r="B327" s="8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71"/>
      <c r="X327" s="261"/>
      <c r="Y327" s="261"/>
      <c r="Z327" s="261"/>
      <c r="AA327" s="264"/>
      <c r="AB327" s="271"/>
      <c r="AC327" s="261"/>
      <c r="AD327" s="261"/>
      <c r="AE327" s="261"/>
      <c r="AF327" s="264"/>
      <c r="AG327" s="271"/>
      <c r="AH327" s="261"/>
      <c r="AI327" s="261"/>
      <c r="AJ327" s="264"/>
      <c r="AK327" s="261"/>
      <c r="AL327" s="261"/>
      <c r="AM327" s="261"/>
      <c r="AN327" s="261"/>
      <c r="AO327" s="261"/>
      <c r="AP327" s="261"/>
      <c r="AQ327" s="264"/>
      <c r="AR327" s="1"/>
      <c r="AS327" s="86"/>
      <c r="AT327" s="1"/>
      <c r="AU327" s="244"/>
      <c r="AV327" s="245"/>
      <c r="AW327" s="246"/>
      <c r="AX327" s="250"/>
      <c r="AY327" s="251"/>
      <c r="AZ327" s="251"/>
      <c r="BA327" s="251"/>
      <c r="BB327" s="251"/>
      <c r="BC327" s="251"/>
      <c r="BD327" s="252"/>
      <c r="BE327" s="34" t="s">
        <v>172</v>
      </c>
      <c r="BF327" s="18"/>
      <c r="BG327" s="18"/>
      <c r="BH327" s="18"/>
      <c r="BI327" s="18"/>
      <c r="BJ327" s="17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20"/>
      <c r="CA327" s="1"/>
      <c r="CB327" s="1"/>
      <c r="CC327" s="1"/>
    </row>
    <row r="328" spans="1:81" ht="16.149999999999999" customHeight="1">
      <c r="A328" s="1"/>
      <c r="B328" s="8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86"/>
      <c r="AT328" s="1"/>
      <c r="AU328" s="238">
        <v>14</v>
      </c>
      <c r="AV328" s="239"/>
      <c r="AW328" s="240"/>
      <c r="AX328" s="247" t="s">
        <v>31</v>
      </c>
      <c r="AY328" s="248"/>
      <c r="AZ328" s="248"/>
      <c r="BA328" s="248"/>
      <c r="BB328" s="248"/>
      <c r="BC328" s="248"/>
      <c r="BD328" s="249"/>
      <c r="BE328" s="33" t="s">
        <v>32</v>
      </c>
      <c r="BF328" s="26"/>
      <c r="BG328" s="26"/>
      <c r="BH328" s="26"/>
      <c r="BI328" s="26"/>
      <c r="BJ328" s="40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7"/>
      <c r="CA328" s="1"/>
      <c r="CB328" s="1"/>
      <c r="CC328" s="1"/>
    </row>
    <row r="329" spans="1:81" ht="16.149999999999999" customHeight="1">
      <c r="A329" s="21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215"/>
      <c r="AT329" s="1"/>
      <c r="AU329" s="241"/>
      <c r="AV329" s="242"/>
      <c r="AW329" s="243"/>
      <c r="AX329" s="254"/>
      <c r="AY329" s="255"/>
      <c r="AZ329" s="255"/>
      <c r="BA329" s="255"/>
      <c r="BB329" s="255"/>
      <c r="BC329" s="255"/>
      <c r="BD329" s="256"/>
      <c r="BE329" s="36" t="s">
        <v>171</v>
      </c>
      <c r="BF329" s="28"/>
      <c r="BG329" s="28"/>
      <c r="BH329" s="28"/>
      <c r="BI329" s="28"/>
      <c r="BJ329" s="32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9"/>
      <c r="CA329" s="1"/>
      <c r="CB329" s="1"/>
      <c r="CC329" s="1"/>
    </row>
    <row r="330" spans="1:81" ht="16.149999999999999" customHeight="1">
      <c r="A330" s="1"/>
      <c r="B330" s="89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1"/>
      <c r="AT330" s="1"/>
      <c r="AU330" s="244"/>
      <c r="AV330" s="245"/>
      <c r="AW330" s="246"/>
      <c r="AX330" s="250"/>
      <c r="AY330" s="251"/>
      <c r="AZ330" s="251"/>
      <c r="BA330" s="251"/>
      <c r="BB330" s="251"/>
      <c r="BC330" s="251"/>
      <c r="BD330" s="252"/>
      <c r="BE330" s="34" t="s">
        <v>173</v>
      </c>
      <c r="BF330" s="18"/>
      <c r="BG330" s="18"/>
      <c r="BH330" s="18"/>
      <c r="BI330" s="18"/>
      <c r="BJ330" s="17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20"/>
      <c r="CA330" s="1"/>
      <c r="CB330" s="1"/>
      <c r="CC330" s="1"/>
    </row>
    <row r="331" spans="1:81" ht="16.149999999999999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</row>
    <row r="332" spans="1:81" ht="16.149999999999999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</row>
    <row r="333" spans="1:81" ht="16.149999999999999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</row>
    <row r="334" spans="1:81" ht="9" customHeight="1">
      <c r="A334" s="1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</row>
    <row r="335" spans="1:81" ht="16.149999999999999" customHeight="1">
      <c r="A335" s="1"/>
      <c r="B335" s="208"/>
      <c r="C335" s="209"/>
      <c r="D335" s="202"/>
      <c r="E335" s="203"/>
      <c r="F335" s="203"/>
      <c r="G335" s="203"/>
      <c r="H335" s="203"/>
      <c r="I335" s="203"/>
      <c r="J335" s="203"/>
      <c r="K335" s="203"/>
      <c r="L335" s="203"/>
      <c r="M335" s="204"/>
      <c r="N335" s="80"/>
      <c r="O335" s="81"/>
      <c r="P335" s="81"/>
      <c r="Q335" s="81"/>
      <c r="R335" s="81"/>
      <c r="S335" s="81"/>
      <c r="T335" s="81"/>
      <c r="U335" s="192"/>
      <c r="V335" s="193"/>
      <c r="W335" s="193"/>
      <c r="X335" s="193"/>
      <c r="Y335" s="193"/>
      <c r="Z335" s="193"/>
      <c r="AA335" s="194"/>
      <c r="AB335" s="195"/>
      <c r="AC335" s="193"/>
      <c r="AD335" s="193"/>
      <c r="AE335" s="193"/>
      <c r="AF335" s="193"/>
      <c r="AG335" s="193"/>
      <c r="AH335" s="194"/>
      <c r="AI335" s="195"/>
      <c r="AJ335" s="193"/>
      <c r="AK335" s="193"/>
      <c r="AL335" s="193"/>
      <c r="AM335" s="193"/>
      <c r="AN335" s="193"/>
      <c r="AO335" s="196"/>
      <c r="AP335" s="192"/>
      <c r="AQ335" s="196"/>
      <c r="AR335" s="192"/>
      <c r="AS335" s="196"/>
      <c r="AT335" s="1"/>
      <c r="AU335" s="41"/>
      <c r="AV335" s="42" t="s">
        <v>108</v>
      </c>
      <c r="AW335" s="43"/>
      <c r="AX335" s="42"/>
      <c r="AY335" s="42"/>
      <c r="AZ335" s="42"/>
      <c r="BA335" s="42" t="s">
        <v>13</v>
      </c>
      <c r="BB335" s="42"/>
      <c r="BC335" s="42"/>
      <c r="BD335" s="43"/>
      <c r="BE335" s="44" t="s">
        <v>24</v>
      </c>
      <c r="BF335" s="42"/>
      <c r="BG335" s="42"/>
      <c r="BH335" s="42"/>
      <c r="BI335" s="42"/>
      <c r="BJ335" s="42"/>
      <c r="BK335" s="42"/>
      <c r="BL335" s="42"/>
      <c r="BM335" s="42"/>
      <c r="BN335" s="42"/>
      <c r="BO335" s="42"/>
      <c r="BP335" s="42"/>
      <c r="BQ335" s="42"/>
      <c r="BR335" s="42"/>
      <c r="BS335" s="42"/>
      <c r="BT335" s="42"/>
      <c r="BU335" s="42"/>
      <c r="BV335" s="42"/>
      <c r="BW335" s="42"/>
      <c r="BX335" s="42"/>
      <c r="BY335" s="42"/>
      <c r="BZ335" s="43"/>
      <c r="CA335" s="1"/>
      <c r="CB335" s="1"/>
      <c r="CC335" s="1"/>
    </row>
    <row r="336" spans="1:81" ht="16.149999999999999" customHeight="1">
      <c r="A336" s="1"/>
      <c r="B336" s="210"/>
      <c r="C336" s="211"/>
      <c r="D336" s="205"/>
      <c r="E336" s="206"/>
      <c r="F336" s="206"/>
      <c r="G336" s="206"/>
      <c r="H336" s="206"/>
      <c r="I336" s="206"/>
      <c r="J336" s="206"/>
      <c r="K336" s="206"/>
      <c r="L336" s="206"/>
      <c r="M336" s="207"/>
      <c r="N336" s="90"/>
      <c r="O336" s="92"/>
      <c r="P336" s="92"/>
      <c r="Q336" s="92"/>
      <c r="R336" s="92"/>
      <c r="S336" s="92"/>
      <c r="T336" s="92"/>
      <c r="U336" s="197"/>
      <c r="V336" s="198"/>
      <c r="W336" s="198"/>
      <c r="X336" s="198"/>
      <c r="Y336" s="198"/>
      <c r="Z336" s="198"/>
      <c r="AA336" s="199"/>
      <c r="AB336" s="200"/>
      <c r="AC336" s="198"/>
      <c r="AD336" s="198"/>
      <c r="AE336" s="198"/>
      <c r="AF336" s="198"/>
      <c r="AG336" s="198"/>
      <c r="AH336" s="199"/>
      <c r="AI336" s="200"/>
      <c r="AJ336" s="198"/>
      <c r="AK336" s="198"/>
      <c r="AL336" s="198"/>
      <c r="AM336" s="198"/>
      <c r="AN336" s="198"/>
      <c r="AO336" s="201"/>
      <c r="AP336" s="197"/>
      <c r="AQ336" s="201"/>
      <c r="AR336" s="197"/>
      <c r="AS336" s="201"/>
      <c r="AT336" s="1"/>
      <c r="AU336" s="238">
        <v>1</v>
      </c>
      <c r="AV336" s="239"/>
      <c r="AW336" s="240"/>
      <c r="AX336" s="247" t="s">
        <v>153</v>
      </c>
      <c r="AY336" s="248"/>
      <c r="AZ336" s="248"/>
      <c r="BA336" s="248"/>
      <c r="BB336" s="248"/>
      <c r="BC336" s="248"/>
      <c r="BD336" s="249"/>
      <c r="BE336" s="17" t="s">
        <v>751</v>
      </c>
      <c r="BF336" s="18"/>
      <c r="BG336" s="18"/>
      <c r="BH336" s="18"/>
      <c r="BI336" s="18"/>
      <c r="BJ336" s="17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20"/>
      <c r="CA336" s="1"/>
      <c r="CB336" s="1"/>
      <c r="CC336" s="1"/>
    </row>
    <row r="337" spans="1:81" ht="16.149999999999999" customHeight="1" thickBot="1">
      <c r="A337" s="1"/>
      <c r="B337" s="83"/>
      <c r="C337" s="1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5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4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84"/>
      <c r="AT337" s="1"/>
      <c r="AU337" s="241"/>
      <c r="AV337" s="242"/>
      <c r="AW337" s="243"/>
      <c r="AX337" s="254"/>
      <c r="AY337" s="255"/>
      <c r="AZ337" s="255"/>
      <c r="BA337" s="255"/>
      <c r="BB337" s="255"/>
      <c r="BC337" s="255"/>
      <c r="BD337" s="256"/>
      <c r="BE337" s="17" t="s">
        <v>752</v>
      </c>
      <c r="BF337" s="18"/>
      <c r="BG337" s="18"/>
      <c r="BH337" s="18"/>
      <c r="BI337" s="18"/>
      <c r="BJ337" s="17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20"/>
      <c r="CA337" s="1"/>
      <c r="CB337" s="1"/>
      <c r="CC337" s="1"/>
    </row>
    <row r="338" spans="1:81" ht="16.149999999999999" customHeight="1">
      <c r="A338" s="1"/>
      <c r="B338" s="292" t="s">
        <v>749</v>
      </c>
      <c r="C338" s="293"/>
      <c r="D338" s="293"/>
      <c r="E338" s="293"/>
      <c r="F338" s="293"/>
      <c r="G338" s="293"/>
      <c r="H338" s="293"/>
      <c r="I338" s="294"/>
      <c r="J338" s="166"/>
      <c r="K338" s="216"/>
      <c r="L338" s="175"/>
      <c r="M338" s="1"/>
      <c r="N338" s="1"/>
      <c r="O338" s="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4"/>
      <c r="AH338" s="3"/>
      <c r="AI338" s="3"/>
      <c r="AJ338" s="3"/>
      <c r="AK338" s="3"/>
      <c r="AL338" s="3"/>
      <c r="AM338" s="3"/>
      <c r="AN338" s="279" t="s">
        <v>152</v>
      </c>
      <c r="AO338" s="280"/>
      <c r="AP338" s="280"/>
      <c r="AQ338" s="280"/>
      <c r="AR338" s="281"/>
      <c r="AS338" s="84"/>
      <c r="AT338" s="1"/>
      <c r="AU338" s="241"/>
      <c r="AV338" s="242"/>
      <c r="AW338" s="243"/>
      <c r="AX338" s="254"/>
      <c r="AY338" s="255"/>
      <c r="AZ338" s="255"/>
      <c r="BA338" s="255"/>
      <c r="BB338" s="255"/>
      <c r="BC338" s="255"/>
      <c r="BD338" s="256"/>
      <c r="BE338" s="17" t="s">
        <v>160</v>
      </c>
      <c r="BF338" s="18"/>
      <c r="BG338" s="18"/>
      <c r="BH338" s="18"/>
      <c r="BI338" s="18"/>
      <c r="BJ338" s="17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20"/>
      <c r="CA338" s="1"/>
      <c r="CB338" s="1"/>
      <c r="CC338" s="1"/>
    </row>
    <row r="339" spans="1:81" ht="16.149999999999999" customHeight="1">
      <c r="A339" s="1"/>
      <c r="B339" s="295"/>
      <c r="C339" s="296"/>
      <c r="D339" s="296"/>
      <c r="E339" s="296"/>
      <c r="F339" s="296"/>
      <c r="G339" s="296"/>
      <c r="H339" s="296"/>
      <c r="I339" s="297"/>
      <c r="J339" s="1"/>
      <c r="K339" s="205"/>
      <c r="L339" s="217"/>
      <c r="M339" s="1"/>
      <c r="N339" s="202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212"/>
      <c r="AH339" s="193"/>
      <c r="AI339" s="193"/>
      <c r="AJ339" s="193"/>
      <c r="AK339" s="193"/>
      <c r="AL339" s="196"/>
      <c r="AM339" s="3"/>
      <c r="AN339" s="1"/>
      <c r="AO339" s="1"/>
      <c r="AP339" s="1"/>
      <c r="AQ339" s="1"/>
      <c r="AR339" s="1"/>
      <c r="AS339" s="84"/>
      <c r="AT339" s="1"/>
      <c r="AU339" s="241"/>
      <c r="AV339" s="242"/>
      <c r="AW339" s="243"/>
      <c r="AX339" s="254"/>
      <c r="AY339" s="255"/>
      <c r="AZ339" s="255"/>
      <c r="BA339" s="255"/>
      <c r="BB339" s="255"/>
      <c r="BC339" s="255"/>
      <c r="BD339" s="256"/>
      <c r="BE339" s="17" t="s">
        <v>753</v>
      </c>
      <c r="BF339" s="18"/>
      <c r="BG339" s="18"/>
      <c r="BH339" s="18"/>
      <c r="BI339" s="18"/>
      <c r="BJ339" s="17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20"/>
      <c r="CA339" s="1"/>
      <c r="CB339" s="1"/>
      <c r="CC339" s="1"/>
    </row>
    <row r="340" spans="1:81" ht="16.149999999999999" customHeight="1">
      <c r="A340" s="1"/>
      <c r="B340" s="218"/>
      <c r="C340" s="1"/>
      <c r="D340" s="1"/>
      <c r="E340" s="1"/>
      <c r="F340" s="1"/>
      <c r="G340" s="1"/>
      <c r="H340" s="1"/>
      <c r="I340" s="1"/>
      <c r="J340" s="1"/>
      <c r="K340" s="1"/>
      <c r="L340" s="176"/>
      <c r="M340" s="1"/>
      <c r="N340" s="21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4"/>
      <c r="AH340" s="3"/>
      <c r="AI340" s="3"/>
      <c r="AJ340" s="3"/>
      <c r="AK340" s="3"/>
      <c r="AL340" s="214"/>
      <c r="AM340" s="3"/>
      <c r="AN340" s="192"/>
      <c r="AO340" s="194"/>
      <c r="AP340" s="193"/>
      <c r="AQ340" s="195"/>
      <c r="AR340" s="196"/>
      <c r="AS340" s="84"/>
      <c r="AT340" s="1"/>
      <c r="AU340" s="241"/>
      <c r="AV340" s="242"/>
      <c r="AW340" s="243"/>
      <c r="AX340" s="254"/>
      <c r="AY340" s="255"/>
      <c r="AZ340" s="255"/>
      <c r="BA340" s="255"/>
      <c r="BB340" s="255"/>
      <c r="BC340" s="255"/>
      <c r="BD340" s="256"/>
      <c r="BE340" s="17" t="s">
        <v>754</v>
      </c>
      <c r="BF340" s="18"/>
      <c r="BG340" s="18"/>
      <c r="BH340" s="18"/>
      <c r="BI340" s="18"/>
      <c r="BJ340" s="17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20"/>
      <c r="CA340" s="1"/>
      <c r="CB340" s="1"/>
      <c r="CC340" s="1"/>
    </row>
    <row r="341" spans="1:81" ht="16.149999999999999" customHeight="1">
      <c r="A341" s="1"/>
      <c r="B341" s="218"/>
      <c r="C341" s="202"/>
      <c r="D341" s="203"/>
      <c r="E341" s="203"/>
      <c r="F341" s="203"/>
      <c r="G341" s="203"/>
      <c r="H341" s="203"/>
      <c r="I341" s="203"/>
      <c r="J341" s="203"/>
      <c r="K341" s="204"/>
      <c r="L341" s="176"/>
      <c r="M341" s="1"/>
      <c r="N341" s="21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4"/>
      <c r="AH341" s="3"/>
      <c r="AI341" s="3"/>
      <c r="AJ341" s="3"/>
      <c r="AK341" s="3"/>
      <c r="AL341" s="214"/>
      <c r="AM341" s="3"/>
      <c r="AN341" s="197"/>
      <c r="AO341" s="199"/>
      <c r="AP341" s="198"/>
      <c r="AQ341" s="200"/>
      <c r="AR341" s="201"/>
      <c r="AS341" s="84"/>
      <c r="AT341" s="1"/>
      <c r="AU341" s="244"/>
      <c r="AV341" s="245"/>
      <c r="AW341" s="246"/>
      <c r="AX341" s="250"/>
      <c r="AY341" s="251"/>
      <c r="AZ341" s="251"/>
      <c r="BA341" s="251"/>
      <c r="BB341" s="251"/>
      <c r="BC341" s="251"/>
      <c r="BD341" s="252"/>
      <c r="BE341" s="17" t="s">
        <v>755</v>
      </c>
      <c r="BF341" s="18"/>
      <c r="BG341" s="18"/>
      <c r="BH341" s="18"/>
      <c r="BI341" s="18"/>
      <c r="BJ341" s="17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20"/>
      <c r="CA341" s="1"/>
      <c r="CB341" s="1"/>
      <c r="CC341" s="1"/>
    </row>
    <row r="342" spans="1:81" ht="16.149999999999999" customHeight="1">
      <c r="A342" s="1"/>
      <c r="B342" s="218"/>
      <c r="C342" s="213"/>
      <c r="D342" s="1"/>
      <c r="E342" s="1"/>
      <c r="F342" s="1"/>
      <c r="G342" s="1"/>
      <c r="H342" s="1"/>
      <c r="I342" s="1"/>
      <c r="J342" s="1"/>
      <c r="K342" s="215"/>
      <c r="L342" s="176"/>
      <c r="M342" s="1"/>
      <c r="N342" s="21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4"/>
      <c r="AH342" s="3"/>
      <c r="AI342" s="3"/>
      <c r="AJ342" s="3"/>
      <c r="AK342" s="3"/>
      <c r="AL342" s="214"/>
      <c r="AM342" s="3"/>
      <c r="AN342" s="3"/>
      <c r="AO342" s="3"/>
      <c r="AP342" s="3"/>
      <c r="AQ342" s="3"/>
      <c r="AR342" s="3"/>
      <c r="AS342" s="84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</row>
    <row r="343" spans="1:81" ht="16.149999999999999" customHeight="1">
      <c r="A343" s="1"/>
      <c r="B343" s="218"/>
      <c r="C343" s="205"/>
      <c r="D343" s="206"/>
      <c r="E343" s="206"/>
      <c r="F343" s="206"/>
      <c r="G343" s="206"/>
      <c r="H343" s="206"/>
      <c r="I343" s="206"/>
      <c r="J343" s="206"/>
      <c r="K343" s="207"/>
      <c r="L343" s="176"/>
      <c r="M343" s="1"/>
      <c r="N343" s="21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4"/>
      <c r="AH343" s="3"/>
      <c r="AI343" s="3"/>
      <c r="AJ343" s="3"/>
      <c r="AK343" s="3"/>
      <c r="AL343" s="214"/>
      <c r="AM343" s="3"/>
      <c r="AN343" s="3"/>
      <c r="AO343" s="3"/>
      <c r="AP343" s="3"/>
      <c r="AQ343" s="192"/>
      <c r="AR343" s="196"/>
      <c r="AS343" s="84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</row>
    <row r="344" spans="1:81" ht="16.149999999999999" customHeight="1">
      <c r="A344" s="1"/>
      <c r="B344" s="169"/>
      <c r="C344" s="1"/>
      <c r="D344" s="1"/>
      <c r="E344" s="1"/>
      <c r="F344" s="1"/>
      <c r="G344" s="1"/>
      <c r="H344" s="1"/>
      <c r="I344" s="1"/>
      <c r="J344" s="1"/>
      <c r="K344" s="1"/>
      <c r="L344" s="176"/>
      <c r="M344" s="1"/>
      <c r="N344" s="21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5"/>
      <c r="AG344" s="1"/>
      <c r="AH344" s="1"/>
      <c r="AI344" s="1"/>
      <c r="AJ344" s="1"/>
      <c r="AK344" s="1"/>
      <c r="AL344" s="215"/>
      <c r="AM344" s="1"/>
      <c r="AN344" s="3"/>
      <c r="AO344" s="3"/>
      <c r="AP344" s="3"/>
      <c r="AQ344" s="197"/>
      <c r="AR344" s="201"/>
      <c r="AS344" s="86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</row>
    <row r="345" spans="1:81" ht="16.149999999999999" customHeight="1">
      <c r="A345" s="1"/>
      <c r="B345" s="183"/>
      <c r="C345" s="202"/>
      <c r="D345" s="203"/>
      <c r="E345" s="203"/>
      <c r="F345" s="203"/>
      <c r="G345" s="203"/>
      <c r="H345" s="203"/>
      <c r="I345" s="203"/>
      <c r="J345" s="203"/>
      <c r="K345" s="204"/>
      <c r="L345" s="176"/>
      <c r="M345" s="1"/>
      <c r="N345" s="21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97" t="s">
        <v>151</v>
      </c>
      <c r="AA345" s="95"/>
      <c r="AB345" s="1"/>
      <c r="AC345" s="1"/>
      <c r="AD345" s="1"/>
      <c r="AE345" s="1"/>
      <c r="AF345" s="5"/>
      <c r="AG345" s="1"/>
      <c r="AH345" s="1"/>
      <c r="AI345" s="1"/>
      <c r="AJ345" s="1"/>
      <c r="AK345" s="1"/>
      <c r="AL345" s="215"/>
      <c r="AM345" s="1"/>
      <c r="AN345" s="1"/>
      <c r="AO345" s="1"/>
      <c r="AP345" s="1"/>
      <c r="AQ345" s="1"/>
      <c r="AR345" s="1"/>
      <c r="AS345" s="86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</row>
    <row r="346" spans="1:81" ht="16.149999999999999" customHeight="1">
      <c r="A346" s="1"/>
      <c r="B346" s="169"/>
      <c r="C346" s="213"/>
      <c r="D346" s="1"/>
      <c r="E346" s="1"/>
      <c r="F346" s="1"/>
      <c r="G346" s="1"/>
      <c r="H346" s="1"/>
      <c r="I346" s="1"/>
      <c r="J346" s="1"/>
      <c r="K346" s="215"/>
      <c r="L346" s="176"/>
      <c r="M346" s="1"/>
      <c r="N346" s="213"/>
      <c r="O346" s="3"/>
      <c r="P346" s="3"/>
      <c r="Q346" s="3"/>
      <c r="R346" s="3"/>
      <c r="S346" s="3"/>
      <c r="T346" s="3"/>
      <c r="U346" s="3"/>
      <c r="V346" s="3"/>
      <c r="W346" s="1"/>
      <c r="X346" s="1"/>
      <c r="Y346" s="1"/>
      <c r="Z346" s="1"/>
      <c r="AA346" s="1"/>
      <c r="AB346" s="1"/>
      <c r="AC346" s="1"/>
      <c r="AD346" s="96"/>
      <c r="AE346" s="1"/>
      <c r="AF346" s="1"/>
      <c r="AG346" s="5"/>
      <c r="AH346" s="1"/>
      <c r="AI346" s="1"/>
      <c r="AJ346" s="1"/>
      <c r="AK346" s="1"/>
      <c r="AL346" s="215"/>
      <c r="AM346" s="1"/>
      <c r="AN346" s="1"/>
      <c r="AO346" s="1"/>
      <c r="AP346" s="1"/>
      <c r="AQ346" s="1"/>
      <c r="AR346" s="1"/>
      <c r="AS346" s="86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</row>
    <row r="347" spans="1:81" ht="16.149999999999999" customHeight="1">
      <c r="A347" s="1"/>
      <c r="B347" s="169"/>
      <c r="C347" s="205"/>
      <c r="D347" s="206"/>
      <c r="E347" s="206"/>
      <c r="F347" s="206"/>
      <c r="G347" s="206"/>
      <c r="H347" s="206"/>
      <c r="I347" s="206"/>
      <c r="J347" s="206"/>
      <c r="K347" s="207"/>
      <c r="L347" s="176"/>
      <c r="M347" s="1"/>
      <c r="N347" s="21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5"/>
      <c r="AG347" s="88"/>
      <c r="AH347" s="1"/>
      <c r="AI347" s="1"/>
      <c r="AJ347" s="1"/>
      <c r="AK347" s="1"/>
      <c r="AL347" s="215"/>
      <c r="AM347" s="1"/>
      <c r="AN347" s="1"/>
      <c r="AO347" s="1"/>
      <c r="AP347" s="1"/>
      <c r="AQ347" s="1"/>
      <c r="AR347" s="1"/>
      <c r="AS347" s="86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</row>
    <row r="348" spans="1:81" ht="16.149999999999999" customHeight="1">
      <c r="A348" s="1"/>
      <c r="B348" s="169"/>
      <c r="C348" s="1"/>
      <c r="D348" s="1"/>
      <c r="E348" s="1"/>
      <c r="F348" s="1"/>
      <c r="G348" s="1"/>
      <c r="H348" s="1"/>
      <c r="I348" s="1"/>
      <c r="J348" s="1"/>
      <c r="K348" s="1"/>
      <c r="L348" s="176"/>
      <c r="M348" s="1"/>
      <c r="N348" s="21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215"/>
      <c r="AM348" s="1"/>
      <c r="AN348" s="1"/>
      <c r="AO348" s="1"/>
      <c r="AP348" s="1"/>
      <c r="AQ348" s="1"/>
      <c r="AR348" s="1"/>
      <c r="AS348" s="86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</row>
    <row r="349" spans="1:81" ht="16.149999999999999" customHeight="1">
      <c r="A349" s="1"/>
      <c r="B349" s="169"/>
      <c r="C349" s="202"/>
      <c r="D349" s="203"/>
      <c r="E349" s="203"/>
      <c r="F349" s="203"/>
      <c r="G349" s="203"/>
      <c r="H349" s="203"/>
      <c r="I349" s="203"/>
      <c r="J349" s="203"/>
      <c r="K349" s="204"/>
      <c r="L349" s="176"/>
      <c r="M349" s="1"/>
      <c r="N349" s="21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215"/>
      <c r="AM349" s="1"/>
      <c r="AN349" s="1"/>
      <c r="AO349" s="1"/>
      <c r="AP349" s="1"/>
      <c r="AQ349" s="1"/>
      <c r="AR349" s="1"/>
      <c r="AS349" s="86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</row>
    <row r="350" spans="1:81" ht="16.149999999999999" customHeight="1">
      <c r="A350" s="1"/>
      <c r="B350" s="169"/>
      <c r="C350" s="213"/>
      <c r="D350" s="1"/>
      <c r="E350" s="1"/>
      <c r="F350" s="1"/>
      <c r="G350" s="1"/>
      <c r="H350" s="1"/>
      <c r="I350" s="1"/>
      <c r="J350" s="1"/>
      <c r="K350" s="215"/>
      <c r="L350" s="176"/>
      <c r="M350" s="1"/>
      <c r="N350" s="21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215"/>
      <c r="AM350" s="1"/>
      <c r="AN350" s="1"/>
      <c r="AO350" s="1"/>
      <c r="AP350" s="1"/>
      <c r="AQ350" s="1"/>
      <c r="AR350" s="1"/>
      <c r="AS350" s="86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</row>
    <row r="351" spans="1:81" ht="16.149999999999999" customHeight="1">
      <c r="A351" s="1"/>
      <c r="B351" s="169"/>
      <c r="C351" s="205"/>
      <c r="D351" s="206"/>
      <c r="E351" s="206"/>
      <c r="F351" s="206"/>
      <c r="G351" s="206"/>
      <c r="H351" s="206"/>
      <c r="I351" s="206"/>
      <c r="J351" s="206"/>
      <c r="K351" s="207"/>
      <c r="L351" s="176"/>
      <c r="M351" s="1"/>
      <c r="N351" s="205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  <c r="AE351" s="206"/>
      <c r="AF351" s="206"/>
      <c r="AG351" s="206"/>
      <c r="AH351" s="206"/>
      <c r="AI351" s="206"/>
      <c r="AJ351" s="206"/>
      <c r="AK351" s="206"/>
      <c r="AL351" s="207"/>
      <c r="AM351" s="1"/>
      <c r="AN351" s="1"/>
      <c r="AO351" s="1"/>
      <c r="AP351" s="1"/>
      <c r="AQ351" s="1"/>
      <c r="AR351" s="1"/>
      <c r="AS351" s="86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</row>
    <row r="352" spans="1:81" ht="16.149999999999999" customHeight="1">
      <c r="A352" s="1"/>
      <c r="B352" s="169"/>
      <c r="C352" s="1"/>
      <c r="D352" s="1"/>
      <c r="E352" s="1"/>
      <c r="F352" s="1"/>
      <c r="G352" s="1"/>
      <c r="H352" s="1"/>
      <c r="I352" s="1"/>
      <c r="J352" s="1"/>
      <c r="K352" s="1"/>
      <c r="L352" s="176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86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</row>
    <row r="353" spans="1:81" ht="16.149999999999999" customHeight="1">
      <c r="A353" s="1"/>
      <c r="B353" s="169"/>
      <c r="C353" s="202"/>
      <c r="D353" s="203"/>
      <c r="E353" s="203"/>
      <c r="F353" s="203"/>
      <c r="G353" s="203"/>
      <c r="H353" s="203"/>
      <c r="I353" s="203"/>
      <c r="J353" s="203"/>
      <c r="K353" s="204"/>
      <c r="L353" s="176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86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</row>
    <row r="354" spans="1:81" ht="16.149999999999999" customHeight="1">
      <c r="A354" s="1"/>
      <c r="B354" s="169"/>
      <c r="C354" s="213"/>
      <c r="D354" s="1"/>
      <c r="E354" s="1"/>
      <c r="F354" s="1"/>
      <c r="G354" s="1"/>
      <c r="H354" s="1"/>
      <c r="I354" s="1"/>
      <c r="J354" s="1"/>
      <c r="K354" s="215"/>
      <c r="L354" s="176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72" t="s">
        <v>174</v>
      </c>
      <c r="X354" s="273"/>
      <c r="Y354" s="273"/>
      <c r="Z354" s="273"/>
      <c r="AA354" s="274"/>
      <c r="AB354" s="272" t="s">
        <v>175</v>
      </c>
      <c r="AC354" s="273"/>
      <c r="AD354" s="273"/>
      <c r="AE354" s="273"/>
      <c r="AF354" s="274"/>
      <c r="AG354" s="272" t="s">
        <v>176</v>
      </c>
      <c r="AH354" s="273"/>
      <c r="AI354" s="273"/>
      <c r="AJ354" s="274"/>
      <c r="AK354" s="273" t="s">
        <v>177</v>
      </c>
      <c r="AL354" s="273"/>
      <c r="AM354" s="273"/>
      <c r="AN354" s="273"/>
      <c r="AO354" s="273"/>
      <c r="AP354" s="273"/>
      <c r="AQ354" s="274"/>
      <c r="AR354" s="1"/>
      <c r="AS354" s="86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</row>
    <row r="355" spans="1:81" ht="16.149999999999999" customHeight="1">
      <c r="A355" s="1"/>
      <c r="B355" s="169"/>
      <c r="C355" s="205"/>
      <c r="D355" s="206"/>
      <c r="E355" s="206"/>
      <c r="F355" s="206"/>
      <c r="G355" s="206"/>
      <c r="H355" s="206"/>
      <c r="I355" s="206"/>
      <c r="J355" s="206"/>
      <c r="K355" s="207"/>
      <c r="L355" s="176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75"/>
      <c r="X355" s="276"/>
      <c r="Y355" s="276"/>
      <c r="Z355" s="276"/>
      <c r="AA355" s="277"/>
      <c r="AB355" s="275"/>
      <c r="AC355" s="276"/>
      <c r="AD355" s="276"/>
      <c r="AE355" s="276"/>
      <c r="AF355" s="277"/>
      <c r="AG355" s="275"/>
      <c r="AH355" s="276"/>
      <c r="AI355" s="276"/>
      <c r="AJ355" s="277"/>
      <c r="AK355" s="276"/>
      <c r="AL355" s="276"/>
      <c r="AM355" s="276"/>
      <c r="AN355" s="276"/>
      <c r="AO355" s="276"/>
      <c r="AP355" s="276"/>
      <c r="AQ355" s="277"/>
      <c r="AR355" s="1"/>
      <c r="AS355" s="86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</row>
    <row r="356" spans="1:81" ht="16.149999999999999" customHeight="1">
      <c r="A356" s="1"/>
      <c r="B356" s="169"/>
      <c r="C356" s="1"/>
      <c r="D356" s="1"/>
      <c r="E356" s="1"/>
      <c r="F356" s="1"/>
      <c r="G356" s="1"/>
      <c r="H356" s="1"/>
      <c r="I356" s="1"/>
      <c r="J356" s="1"/>
      <c r="K356" s="1"/>
      <c r="L356" s="176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86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</row>
    <row r="357" spans="1:81" ht="16.149999999999999" customHeight="1" thickBot="1">
      <c r="A357" s="1"/>
      <c r="B357" s="171"/>
      <c r="C357" s="219"/>
      <c r="D357" s="220"/>
      <c r="E357" s="220"/>
      <c r="F357" s="220"/>
      <c r="G357" s="220"/>
      <c r="H357" s="220"/>
      <c r="I357" s="220"/>
      <c r="J357" s="220"/>
      <c r="K357" s="221"/>
      <c r="L357" s="177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</row>
    <row r="358" spans="1:81" ht="16.149999999999999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</row>
    <row r="359" spans="1:81" ht="16.149999999999999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</row>
    <row r="360" spans="1:81" ht="16.149999999999999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</row>
    <row r="361" spans="1:81" ht="16.149999999999999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</row>
    <row r="362" spans="1:81" ht="16.149999999999999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</row>
    <row r="363" spans="1:81" ht="16.149999999999999" customHeight="1">
      <c r="A363" s="1"/>
      <c r="B363" s="1"/>
      <c r="C363" s="4" t="s">
        <v>178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</row>
    <row r="364" spans="1:81" ht="9" customHeight="1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</row>
    <row r="365" spans="1:81" ht="16.149999999999999" customHeight="1">
      <c r="A365" s="1"/>
      <c r="B365" s="178"/>
      <c r="C365" s="179"/>
      <c r="D365" s="165"/>
      <c r="E365" s="166"/>
      <c r="F365" s="166"/>
      <c r="G365" s="166"/>
      <c r="H365" s="166"/>
      <c r="I365" s="166"/>
      <c r="J365" s="166"/>
      <c r="K365" s="166"/>
      <c r="L365" s="166"/>
      <c r="M365" s="175"/>
      <c r="N365" s="80"/>
      <c r="O365" s="81"/>
      <c r="P365" s="81"/>
      <c r="Q365" s="81"/>
      <c r="R365" s="81"/>
      <c r="S365" s="81"/>
      <c r="T365" s="81"/>
      <c r="U365" s="155"/>
      <c r="V365" s="156"/>
      <c r="W365" s="156"/>
      <c r="X365" s="156"/>
      <c r="Y365" s="156"/>
      <c r="Z365" s="156"/>
      <c r="AA365" s="157"/>
      <c r="AB365" s="158"/>
      <c r="AC365" s="156"/>
      <c r="AD365" s="156"/>
      <c r="AE365" s="156"/>
      <c r="AF365" s="156"/>
      <c r="AG365" s="156"/>
      <c r="AH365" s="157"/>
      <c r="AI365" s="158"/>
      <c r="AJ365" s="156"/>
      <c r="AK365" s="156"/>
      <c r="AL365" s="156"/>
      <c r="AM365" s="156"/>
      <c r="AN365" s="156"/>
      <c r="AO365" s="159"/>
      <c r="AP365" s="155"/>
      <c r="AQ365" s="159"/>
      <c r="AR365" s="156"/>
      <c r="AS365" s="159"/>
      <c r="AT365" s="1"/>
      <c r="AU365" s="41"/>
      <c r="AV365" s="42" t="s">
        <v>108</v>
      </c>
      <c r="AW365" s="43"/>
      <c r="AX365" s="42"/>
      <c r="AY365" s="42"/>
      <c r="AZ365" s="42"/>
      <c r="BA365" s="42" t="s">
        <v>13</v>
      </c>
      <c r="BB365" s="42"/>
      <c r="BC365" s="42"/>
      <c r="BD365" s="43"/>
      <c r="BE365" s="44" t="s">
        <v>24</v>
      </c>
      <c r="BF365" s="42"/>
      <c r="BG365" s="42"/>
      <c r="BH365" s="42"/>
      <c r="BI365" s="42"/>
      <c r="BJ365" s="42"/>
      <c r="BK365" s="42"/>
      <c r="BL365" s="42"/>
      <c r="BM365" s="42"/>
      <c r="BN365" s="42"/>
      <c r="BO365" s="42"/>
      <c r="BP365" s="42"/>
      <c r="BQ365" s="42"/>
      <c r="BR365" s="42"/>
      <c r="BS365" s="42"/>
      <c r="BT365" s="42"/>
      <c r="BU365" s="42"/>
      <c r="BV365" s="42"/>
      <c r="BW365" s="42"/>
      <c r="BX365" s="42"/>
      <c r="BY365" s="42"/>
      <c r="BZ365" s="43"/>
      <c r="CA365" s="1"/>
      <c r="CB365" s="1"/>
      <c r="CC365" s="1"/>
    </row>
    <row r="366" spans="1:81" ht="16.149999999999999" customHeight="1" thickBot="1">
      <c r="A366" s="1"/>
      <c r="B366" s="180"/>
      <c r="C366" s="181"/>
      <c r="D366" s="171"/>
      <c r="E366" s="172"/>
      <c r="F366" s="172"/>
      <c r="G366" s="172"/>
      <c r="H366" s="172"/>
      <c r="I366" s="172"/>
      <c r="J366" s="172"/>
      <c r="K366" s="172"/>
      <c r="L366" s="172"/>
      <c r="M366" s="177"/>
      <c r="N366" s="90"/>
      <c r="O366" s="92"/>
      <c r="P366" s="92"/>
      <c r="Q366" s="92"/>
      <c r="R366" s="92"/>
      <c r="S366" s="92"/>
      <c r="T366" s="92"/>
      <c r="U366" s="160"/>
      <c r="V366" s="161"/>
      <c r="W366" s="161"/>
      <c r="X366" s="161"/>
      <c r="Y366" s="161"/>
      <c r="Z366" s="161"/>
      <c r="AA366" s="162"/>
      <c r="AB366" s="163"/>
      <c r="AC366" s="161"/>
      <c r="AD366" s="161"/>
      <c r="AE366" s="161"/>
      <c r="AF366" s="161"/>
      <c r="AG366" s="161"/>
      <c r="AH366" s="162"/>
      <c r="AI366" s="163"/>
      <c r="AJ366" s="161"/>
      <c r="AK366" s="161"/>
      <c r="AL366" s="161"/>
      <c r="AM366" s="161"/>
      <c r="AN366" s="161"/>
      <c r="AO366" s="164"/>
      <c r="AP366" s="160"/>
      <c r="AQ366" s="164"/>
      <c r="AR366" s="161"/>
      <c r="AS366" s="164"/>
      <c r="AT366" s="1"/>
      <c r="AU366" s="51"/>
      <c r="AV366" s="53">
        <v>1</v>
      </c>
      <c r="AW366" s="54"/>
      <c r="AX366" s="24"/>
      <c r="AY366" s="24"/>
      <c r="AZ366" s="21"/>
      <c r="BA366" s="21" t="s">
        <v>61</v>
      </c>
      <c r="BB366" s="24"/>
      <c r="BC366" s="24"/>
      <c r="BD366" s="25"/>
      <c r="BE366" s="17" t="s">
        <v>109</v>
      </c>
      <c r="BF366" s="18"/>
      <c r="BG366" s="18"/>
      <c r="BH366" s="18"/>
      <c r="BI366" s="18"/>
      <c r="BJ366" s="17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20"/>
      <c r="CA366" s="1"/>
      <c r="CB366" s="1"/>
      <c r="CC366" s="1"/>
    </row>
    <row r="367" spans="1:81" ht="16.149999999999999" customHeight="1" thickBot="1">
      <c r="A367" s="1"/>
      <c r="B367" s="83"/>
      <c r="C367" s="1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5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4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84"/>
      <c r="AT367" s="1"/>
      <c r="AU367" s="51"/>
      <c r="AV367" s="53">
        <v>2</v>
      </c>
      <c r="AW367" s="54"/>
      <c r="AX367" s="24"/>
      <c r="AY367" s="24"/>
      <c r="AZ367" s="21"/>
      <c r="BA367" s="21" t="s">
        <v>110</v>
      </c>
      <c r="BB367" s="24"/>
      <c r="BC367" s="24"/>
      <c r="BD367" s="25"/>
      <c r="BE367" s="17" t="s">
        <v>111</v>
      </c>
      <c r="BF367" s="18"/>
      <c r="BG367" s="18"/>
      <c r="BH367" s="18"/>
      <c r="BI367" s="18"/>
      <c r="BJ367" s="17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20"/>
      <c r="CA367" s="1"/>
      <c r="CB367" s="1"/>
      <c r="CC367" s="1"/>
    </row>
    <row r="368" spans="1:81" ht="16.149999999999999" customHeight="1">
      <c r="A368" s="1"/>
      <c r="B368" s="83"/>
      <c r="C368" s="11"/>
      <c r="D368" s="165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56"/>
      <c r="P368" s="156"/>
      <c r="Q368" s="156"/>
      <c r="R368" s="156"/>
      <c r="S368" s="156"/>
      <c r="T368" s="156"/>
      <c r="U368" s="156"/>
      <c r="V368" s="159"/>
      <c r="W368" s="3"/>
      <c r="X368" s="94"/>
      <c r="Y368" s="81"/>
      <c r="Z368" s="81"/>
      <c r="AA368" s="81"/>
      <c r="AB368" s="81"/>
      <c r="AC368" s="81"/>
      <c r="AD368" s="81"/>
      <c r="AE368" s="81"/>
      <c r="AF368" s="81"/>
      <c r="AG368" s="82"/>
      <c r="AH368" s="81"/>
      <c r="AI368" s="81"/>
      <c r="AJ368" s="81"/>
      <c r="AK368" s="81"/>
      <c r="AL368" s="81"/>
      <c r="AM368" s="81"/>
      <c r="AN368" s="80"/>
      <c r="AO368" s="80"/>
      <c r="AP368" s="93"/>
      <c r="AQ368" s="1"/>
      <c r="AR368" s="1"/>
      <c r="AS368" s="84"/>
      <c r="AT368" s="1"/>
      <c r="AU368" s="51"/>
      <c r="AV368" s="53">
        <v>3</v>
      </c>
      <c r="AW368" s="54"/>
      <c r="AX368" s="24"/>
      <c r="AY368" s="24"/>
      <c r="AZ368" s="21"/>
      <c r="BA368" s="21" t="s">
        <v>112</v>
      </c>
      <c r="BB368" s="24"/>
      <c r="BC368" s="24"/>
      <c r="BD368" s="25"/>
      <c r="BE368" s="17" t="s">
        <v>113</v>
      </c>
      <c r="BF368" s="18"/>
      <c r="BG368" s="18"/>
      <c r="BH368" s="18"/>
      <c r="BI368" s="18"/>
      <c r="BJ368" s="17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20"/>
      <c r="CA368" s="1"/>
      <c r="CB368" s="1"/>
      <c r="CC368" s="1"/>
    </row>
    <row r="369" spans="1:81" ht="16.149999999999999" customHeight="1">
      <c r="A369" s="1"/>
      <c r="B369" s="83"/>
      <c r="C369" s="1"/>
      <c r="D369" s="16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"/>
      <c r="P369" s="3"/>
      <c r="Q369" s="3"/>
      <c r="R369" s="3"/>
      <c r="S369" s="3"/>
      <c r="T369" s="3"/>
      <c r="U369" s="3"/>
      <c r="V369" s="184"/>
      <c r="W369" s="3"/>
      <c r="X369" s="87"/>
      <c r="Y369" s="3"/>
      <c r="Z369" s="3"/>
      <c r="AA369" s="3"/>
      <c r="AB369" s="3"/>
      <c r="AC369" s="3"/>
      <c r="AD369" s="3"/>
      <c r="AE369" s="3"/>
      <c r="AF369" s="3"/>
      <c r="AG369" s="4"/>
      <c r="AH369" s="3"/>
      <c r="AI369" s="3"/>
      <c r="AJ369" s="3"/>
      <c r="AK369" s="3"/>
      <c r="AL369" s="3"/>
      <c r="AM369" s="3"/>
      <c r="AN369" s="3"/>
      <c r="AO369" s="3"/>
      <c r="AP369" s="84"/>
      <c r="AQ369" s="3"/>
      <c r="AR369" s="3"/>
      <c r="AS369" s="84"/>
      <c r="AT369" s="1"/>
      <c r="AU369" s="51"/>
      <c r="AV369" s="53">
        <v>4</v>
      </c>
      <c r="AW369" s="54"/>
      <c r="AX369" s="24"/>
      <c r="AY369" s="24"/>
      <c r="AZ369" s="21"/>
      <c r="BA369" s="21" t="s">
        <v>114</v>
      </c>
      <c r="BB369" s="24"/>
      <c r="BC369" s="24"/>
      <c r="BD369" s="25"/>
      <c r="BE369" s="17" t="s">
        <v>115</v>
      </c>
      <c r="BF369" s="18"/>
      <c r="BG369" s="18"/>
      <c r="BH369" s="18"/>
      <c r="BI369" s="18"/>
      <c r="BJ369" s="17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20"/>
      <c r="CA369" s="1"/>
      <c r="CB369" s="1"/>
      <c r="CC369" s="1"/>
    </row>
    <row r="370" spans="1:81" ht="16.149999999999999" customHeight="1">
      <c r="A370" s="1"/>
      <c r="B370" s="83"/>
      <c r="C370" s="1"/>
      <c r="D370" s="16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"/>
      <c r="P370" s="3"/>
      <c r="Q370" s="3"/>
      <c r="R370" s="3"/>
      <c r="S370" s="3"/>
      <c r="T370" s="3"/>
      <c r="U370" s="3"/>
      <c r="V370" s="184"/>
      <c r="W370" s="3"/>
      <c r="X370" s="87"/>
      <c r="Y370" s="3"/>
      <c r="Z370" s="3"/>
      <c r="AA370" s="3"/>
      <c r="AB370" s="3"/>
      <c r="AC370" s="3"/>
      <c r="AD370" s="3"/>
      <c r="AE370" s="3"/>
      <c r="AF370" s="3"/>
      <c r="AG370" s="4"/>
      <c r="AH370" s="3"/>
      <c r="AI370" s="3"/>
      <c r="AJ370" s="3"/>
      <c r="AK370" s="3"/>
      <c r="AL370" s="3"/>
      <c r="AM370" s="3"/>
      <c r="AN370" s="3"/>
      <c r="AO370" s="3"/>
      <c r="AP370" s="84"/>
      <c r="AQ370" s="3"/>
      <c r="AR370" s="3"/>
      <c r="AS370" s="84"/>
      <c r="AT370" s="1"/>
      <c r="AU370" s="51"/>
      <c r="AV370" s="53">
        <v>5</v>
      </c>
      <c r="AW370" s="54"/>
      <c r="AX370" s="24"/>
      <c r="AY370" s="24"/>
      <c r="AZ370" s="21"/>
      <c r="BA370" s="21" t="s">
        <v>63</v>
      </c>
      <c r="BB370" s="24"/>
      <c r="BC370" s="24"/>
      <c r="BD370" s="25"/>
      <c r="BE370" s="17" t="s">
        <v>116</v>
      </c>
      <c r="BF370" s="18"/>
      <c r="BG370" s="18"/>
      <c r="BH370" s="18"/>
      <c r="BI370" s="18"/>
      <c r="BJ370" s="17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20"/>
      <c r="CA370" s="1"/>
      <c r="CB370" s="1"/>
      <c r="CC370" s="1"/>
    </row>
    <row r="371" spans="1:81" ht="16.149999999999999" customHeight="1">
      <c r="A371" s="1"/>
      <c r="B371" s="83"/>
      <c r="C371" s="1"/>
      <c r="D371" s="16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"/>
      <c r="P371" s="3"/>
      <c r="Q371" s="3"/>
      <c r="R371" s="3"/>
      <c r="S371" s="3"/>
      <c r="T371" s="3"/>
      <c r="U371" s="3"/>
      <c r="V371" s="184"/>
      <c r="W371" s="3"/>
      <c r="X371" s="87"/>
      <c r="Y371" s="3"/>
      <c r="Z371" s="3"/>
      <c r="AA371" s="3"/>
      <c r="AB371" s="3"/>
      <c r="AC371" s="3"/>
      <c r="AD371" s="3"/>
      <c r="AE371" s="3"/>
      <c r="AF371" s="3"/>
      <c r="AG371" s="4"/>
      <c r="AH371" s="3"/>
      <c r="AI371" s="3"/>
      <c r="AJ371" s="3"/>
      <c r="AK371" s="3"/>
      <c r="AL371" s="3"/>
      <c r="AM371" s="3"/>
      <c r="AN371" s="3"/>
      <c r="AO371" s="3"/>
      <c r="AP371" s="84"/>
      <c r="AQ371" s="3"/>
      <c r="AR371" s="3"/>
      <c r="AS371" s="84"/>
      <c r="AT371" s="1"/>
      <c r="AU371" s="51"/>
      <c r="AV371" s="53">
        <v>6</v>
      </c>
      <c r="AW371" s="54"/>
      <c r="AX371" s="23"/>
      <c r="AY371" s="24"/>
      <c r="AZ371" s="24"/>
      <c r="BA371" s="21" t="s">
        <v>180</v>
      </c>
      <c r="BB371" s="24"/>
      <c r="BC371" s="24"/>
      <c r="BD371" s="25"/>
      <c r="BE371" s="17" t="s">
        <v>183</v>
      </c>
      <c r="BF371" s="18"/>
      <c r="BG371" s="18"/>
      <c r="BH371" s="18"/>
      <c r="BI371" s="18"/>
      <c r="BJ371" s="17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20"/>
      <c r="CA371" s="1"/>
      <c r="CB371" s="1"/>
      <c r="CC371" s="1"/>
    </row>
    <row r="372" spans="1:81" ht="16.149999999999999" customHeight="1">
      <c r="A372" s="1"/>
      <c r="B372" s="83"/>
      <c r="C372" s="1"/>
      <c r="D372" s="16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"/>
      <c r="P372" s="3"/>
      <c r="Q372" s="3"/>
      <c r="R372" s="3"/>
      <c r="S372" s="3"/>
      <c r="T372" s="3"/>
      <c r="U372" s="3"/>
      <c r="V372" s="184"/>
      <c r="W372" s="3"/>
      <c r="X372" s="87"/>
      <c r="Y372" s="3"/>
      <c r="Z372" s="3"/>
      <c r="AA372" s="3"/>
      <c r="AB372" s="3"/>
      <c r="AC372" s="3"/>
      <c r="AD372" s="3"/>
      <c r="AE372" s="3"/>
      <c r="AF372" s="3"/>
      <c r="AG372" s="4"/>
      <c r="AH372" s="3"/>
      <c r="AI372" s="3"/>
      <c r="AJ372" s="3"/>
      <c r="AK372" s="3"/>
      <c r="AL372" s="3"/>
      <c r="AM372" s="3"/>
      <c r="AN372" s="3"/>
      <c r="AO372" s="3"/>
      <c r="AP372" s="84"/>
      <c r="AQ372" s="3"/>
      <c r="AR372" s="3"/>
      <c r="AS372" s="84"/>
      <c r="AT372" s="1"/>
      <c r="AU372" s="57"/>
      <c r="AV372" s="56">
        <v>7</v>
      </c>
      <c r="AW372" s="58"/>
      <c r="AX372" s="37"/>
      <c r="AY372" s="38"/>
      <c r="AZ372" s="38"/>
      <c r="BA372" s="18" t="s">
        <v>181</v>
      </c>
      <c r="BB372" s="38"/>
      <c r="BC372" s="38"/>
      <c r="BD372" s="39"/>
      <c r="BE372" s="32" t="s">
        <v>185</v>
      </c>
      <c r="BF372" s="28"/>
      <c r="BG372" s="28"/>
      <c r="BH372" s="28"/>
      <c r="BI372" s="28"/>
      <c r="BJ372" s="32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9"/>
      <c r="CA372" s="1"/>
      <c r="CB372" s="1"/>
      <c r="CC372" s="1"/>
    </row>
    <row r="373" spans="1:81" ht="16.149999999999999" customHeight="1">
      <c r="A373" s="1"/>
      <c r="B373" s="83"/>
      <c r="C373" s="1"/>
      <c r="D373" s="169"/>
      <c r="E373" s="1"/>
      <c r="F373" s="1"/>
      <c r="G373" s="1"/>
      <c r="H373" s="1"/>
      <c r="I373" s="1"/>
      <c r="J373" s="1"/>
      <c r="K373" s="1"/>
      <c r="L373" s="1"/>
      <c r="M373" s="97" t="s">
        <v>184</v>
      </c>
      <c r="N373" s="1"/>
      <c r="O373" s="1"/>
      <c r="P373" s="1"/>
      <c r="Q373" s="1"/>
      <c r="R373" s="1"/>
      <c r="S373" s="1"/>
      <c r="T373" s="1"/>
      <c r="U373" s="1"/>
      <c r="V373" s="176"/>
      <c r="W373" s="1"/>
      <c r="X373" s="85"/>
      <c r="Y373" s="1"/>
      <c r="Z373" s="1"/>
      <c r="AA373" s="1"/>
      <c r="AB373" s="1"/>
      <c r="AC373" s="1"/>
      <c r="AD373" s="1"/>
      <c r="AE373" s="1"/>
      <c r="AF373" s="5"/>
      <c r="AG373" s="97" t="s">
        <v>184</v>
      </c>
      <c r="AH373" s="1"/>
      <c r="AI373" s="1"/>
      <c r="AJ373" s="1"/>
      <c r="AK373" s="1"/>
      <c r="AL373" s="1"/>
      <c r="AM373" s="1"/>
      <c r="AN373" s="3"/>
      <c r="AO373" s="3"/>
      <c r="AP373" s="84"/>
      <c r="AQ373" s="3"/>
      <c r="AR373" s="3"/>
      <c r="AS373" s="84"/>
      <c r="AT373" s="1"/>
      <c r="AU373" s="238">
        <v>8</v>
      </c>
      <c r="AV373" s="239"/>
      <c r="AW373" s="240"/>
      <c r="AX373" s="247" t="s">
        <v>123</v>
      </c>
      <c r="AY373" s="248"/>
      <c r="AZ373" s="248"/>
      <c r="BA373" s="248"/>
      <c r="BB373" s="248"/>
      <c r="BC373" s="248"/>
      <c r="BD373" s="249"/>
      <c r="BE373" s="33" t="s">
        <v>186</v>
      </c>
      <c r="BF373" s="26"/>
      <c r="BG373" s="26"/>
      <c r="BH373" s="26"/>
      <c r="BI373" s="26"/>
      <c r="BJ373" s="40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7"/>
      <c r="CA373" s="1"/>
      <c r="CB373" s="1"/>
      <c r="CC373" s="1"/>
    </row>
    <row r="374" spans="1:81" ht="16.149999999999999" customHeight="1">
      <c r="A374" s="1"/>
      <c r="B374" s="85"/>
      <c r="C374" s="1"/>
      <c r="D374" s="16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76"/>
      <c r="W374" s="1"/>
      <c r="X374" s="85"/>
      <c r="Y374" s="1"/>
      <c r="Z374" s="97"/>
      <c r="AA374" s="95"/>
      <c r="AB374" s="1"/>
      <c r="AC374" s="1"/>
      <c r="AD374" s="1"/>
      <c r="AE374" s="1"/>
      <c r="AF374" s="5"/>
      <c r="AG374" s="1"/>
      <c r="AH374" s="1"/>
      <c r="AI374" s="1"/>
      <c r="AJ374" s="1"/>
      <c r="AK374" s="1"/>
      <c r="AL374" s="1"/>
      <c r="AM374" s="1"/>
      <c r="AN374" s="1"/>
      <c r="AO374" s="1"/>
      <c r="AP374" s="86"/>
      <c r="AQ374" s="1"/>
      <c r="AR374" s="1"/>
      <c r="AS374" s="86"/>
      <c r="AT374" s="1"/>
      <c r="AU374" s="241"/>
      <c r="AV374" s="242"/>
      <c r="AW374" s="243"/>
      <c r="AX374" s="254"/>
      <c r="AY374" s="255"/>
      <c r="AZ374" s="255"/>
      <c r="BA374" s="255"/>
      <c r="BB374" s="255"/>
      <c r="BC374" s="255"/>
      <c r="BD374" s="256"/>
      <c r="BE374" s="36" t="s">
        <v>187</v>
      </c>
      <c r="BF374" s="28"/>
      <c r="BG374" s="28"/>
      <c r="BH374" s="28"/>
      <c r="BI374" s="28"/>
      <c r="BJ374" s="32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9"/>
      <c r="CA374" s="1"/>
      <c r="CB374" s="1"/>
      <c r="CC374" s="1"/>
    </row>
    <row r="375" spans="1:81" ht="16.149999999999999" customHeight="1">
      <c r="A375" s="1"/>
      <c r="B375" s="87"/>
      <c r="C375" s="1"/>
      <c r="D375" s="16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"/>
      <c r="P375" s="3"/>
      <c r="Q375" s="3"/>
      <c r="R375" s="3"/>
      <c r="S375" s="3"/>
      <c r="T375" s="3"/>
      <c r="U375" s="3"/>
      <c r="V375" s="184"/>
      <c r="W375" s="1"/>
      <c r="X375" s="85"/>
      <c r="Y375" s="1"/>
      <c r="Z375" s="1"/>
      <c r="AA375" s="1"/>
      <c r="AB375" s="1"/>
      <c r="AC375" s="1"/>
      <c r="AD375" s="96"/>
      <c r="AE375" s="1"/>
      <c r="AF375" s="1"/>
      <c r="AG375" s="5"/>
      <c r="AH375" s="1"/>
      <c r="AI375" s="1"/>
      <c r="AJ375" s="1"/>
      <c r="AK375" s="1"/>
      <c r="AL375" s="1"/>
      <c r="AM375" s="1"/>
      <c r="AN375" s="1"/>
      <c r="AO375" s="1"/>
      <c r="AP375" s="86"/>
      <c r="AQ375" s="1"/>
      <c r="AR375" s="1"/>
      <c r="AS375" s="86"/>
      <c r="AT375" s="1"/>
      <c r="AU375" s="241"/>
      <c r="AV375" s="242"/>
      <c r="AW375" s="243"/>
      <c r="AX375" s="254"/>
      <c r="AY375" s="255"/>
      <c r="AZ375" s="255"/>
      <c r="BA375" s="255"/>
      <c r="BB375" s="255"/>
      <c r="BC375" s="255"/>
      <c r="BD375" s="256"/>
      <c r="BE375" s="36"/>
      <c r="BF375" s="32" t="s">
        <v>188</v>
      </c>
      <c r="BG375" s="28"/>
      <c r="BH375" s="28"/>
      <c r="BI375" s="28"/>
      <c r="BJ375" s="32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9"/>
      <c r="CA375" s="1"/>
      <c r="CB375" s="1"/>
      <c r="CC375" s="1"/>
    </row>
    <row r="376" spans="1:81" ht="16.149999999999999" customHeight="1">
      <c r="A376" s="1"/>
      <c r="B376" s="85"/>
      <c r="C376" s="1"/>
      <c r="D376" s="16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76"/>
      <c r="W376" s="1"/>
      <c r="X376" s="85"/>
      <c r="Y376" s="1"/>
      <c r="Z376" s="1"/>
      <c r="AA376" s="1"/>
      <c r="AB376" s="1"/>
      <c r="AC376" s="1"/>
      <c r="AD376" s="1"/>
      <c r="AE376" s="1"/>
      <c r="AF376" s="5"/>
      <c r="AG376" s="88"/>
      <c r="AH376" s="1"/>
      <c r="AI376" s="1"/>
      <c r="AJ376" s="1"/>
      <c r="AK376" s="1"/>
      <c r="AL376" s="1"/>
      <c r="AM376" s="1"/>
      <c r="AN376" s="1"/>
      <c r="AO376" s="1"/>
      <c r="AP376" s="86"/>
      <c r="AQ376" s="1"/>
      <c r="AR376" s="1"/>
      <c r="AS376" s="86"/>
      <c r="AT376" s="1"/>
      <c r="AU376" s="241"/>
      <c r="AV376" s="242"/>
      <c r="AW376" s="243"/>
      <c r="AX376" s="254"/>
      <c r="AY376" s="255"/>
      <c r="AZ376" s="255"/>
      <c r="BA376" s="255"/>
      <c r="BB376" s="255"/>
      <c r="BC376" s="255"/>
      <c r="BD376" s="256"/>
      <c r="BE376" s="35" t="s">
        <v>189</v>
      </c>
      <c r="BF376" s="21"/>
      <c r="BG376" s="21"/>
      <c r="BH376" s="21"/>
      <c r="BI376" s="21"/>
      <c r="BJ376" s="55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2"/>
      <c r="CA376" s="1"/>
      <c r="CB376" s="1"/>
      <c r="CC376" s="1"/>
    </row>
    <row r="377" spans="1:81" ht="16.149999999999999" customHeight="1">
      <c r="A377" s="1"/>
      <c r="B377" s="85"/>
      <c r="C377" s="1"/>
      <c r="D377" s="16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76"/>
      <c r="W377" s="1"/>
      <c r="X377" s="85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86"/>
      <c r="AQ377" s="1"/>
      <c r="AR377" s="1"/>
      <c r="AS377" s="86"/>
      <c r="AT377" s="1"/>
      <c r="AU377" s="244"/>
      <c r="AV377" s="245"/>
      <c r="AW377" s="246"/>
      <c r="AX377" s="250"/>
      <c r="AY377" s="251"/>
      <c r="AZ377" s="251"/>
      <c r="BA377" s="251"/>
      <c r="BB377" s="251"/>
      <c r="BC377" s="251"/>
      <c r="BD377" s="252"/>
      <c r="BE377" s="35" t="s">
        <v>191</v>
      </c>
      <c r="BF377" s="21"/>
      <c r="BG377" s="21"/>
      <c r="BH377" s="21"/>
      <c r="BI377" s="21"/>
      <c r="BJ377" s="55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2"/>
      <c r="CA377" s="1"/>
      <c r="CB377" s="1"/>
      <c r="CC377" s="1"/>
    </row>
    <row r="378" spans="1:81" ht="16.149999999999999" customHeight="1">
      <c r="A378" s="1"/>
      <c r="B378" s="85"/>
      <c r="C378" s="1"/>
      <c r="D378" s="16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76"/>
      <c r="W378" s="1"/>
      <c r="X378" s="85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86"/>
      <c r="AQ378" s="1"/>
      <c r="AR378" s="1"/>
      <c r="AS378" s="86"/>
      <c r="AT378" s="1"/>
      <c r="AU378" s="51"/>
      <c r="AV378" s="53">
        <v>9</v>
      </c>
      <c r="AW378" s="54"/>
      <c r="AX378" s="23"/>
      <c r="AY378" s="24"/>
      <c r="AZ378" s="21"/>
      <c r="BA378" s="21" t="s">
        <v>118</v>
      </c>
      <c r="BB378" s="24"/>
      <c r="BC378" s="24"/>
      <c r="BD378" s="25"/>
      <c r="BE378" s="33" t="s">
        <v>127</v>
      </c>
      <c r="BF378" s="28"/>
      <c r="BG378" s="28"/>
      <c r="BH378" s="28"/>
      <c r="BI378" s="28"/>
      <c r="BJ378" s="32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9"/>
      <c r="CA378" s="1"/>
      <c r="CB378" s="1"/>
      <c r="CC378" s="1"/>
    </row>
    <row r="379" spans="1:81" ht="16.149999999999999" customHeight="1" thickBot="1">
      <c r="A379" s="1"/>
      <c r="B379" s="85"/>
      <c r="C379" s="1"/>
      <c r="D379" s="171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7"/>
      <c r="W379" s="1"/>
      <c r="X379" s="89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1"/>
      <c r="AQ379" s="1"/>
      <c r="AR379" s="1"/>
      <c r="AS379" s="86"/>
      <c r="AT379" s="1"/>
      <c r="AU379" s="238">
        <v>10</v>
      </c>
      <c r="AV379" s="239"/>
      <c r="AW379" s="240"/>
      <c r="AX379" s="247" t="s">
        <v>182</v>
      </c>
      <c r="AY379" s="248"/>
      <c r="AZ379" s="248"/>
      <c r="BA379" s="248"/>
      <c r="BB379" s="248"/>
      <c r="BC379" s="248"/>
      <c r="BD379" s="248"/>
      <c r="BE379" s="33" t="s">
        <v>190</v>
      </c>
      <c r="BF379" s="26"/>
      <c r="BG379" s="26"/>
      <c r="BH379" s="26"/>
      <c r="BI379" s="26"/>
      <c r="BJ379" s="40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7"/>
      <c r="CA379" s="1"/>
      <c r="CB379" s="1"/>
      <c r="CC379" s="1"/>
    </row>
    <row r="380" spans="1:81" ht="16.149999999999999" customHeight="1" thickBot="1">
      <c r="A380" s="1"/>
      <c r="B380" s="8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86"/>
      <c r="AT380" s="1"/>
      <c r="AU380" s="244"/>
      <c r="AV380" s="245"/>
      <c r="AW380" s="246"/>
      <c r="AX380" s="250"/>
      <c r="AY380" s="251"/>
      <c r="AZ380" s="251"/>
      <c r="BA380" s="251"/>
      <c r="BB380" s="251"/>
      <c r="BC380" s="251"/>
      <c r="BD380" s="251"/>
      <c r="BE380" s="34" t="s">
        <v>129</v>
      </c>
      <c r="BF380" s="18"/>
      <c r="BG380" s="18"/>
      <c r="BH380" s="18"/>
      <c r="BI380" s="18"/>
      <c r="BJ380" s="17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20"/>
      <c r="CA380" s="1"/>
      <c r="CB380" s="1"/>
      <c r="CC380" s="1"/>
    </row>
    <row r="381" spans="1:81" ht="16.149999999999999" customHeight="1" thickBot="1">
      <c r="A381" s="1"/>
      <c r="B381" s="85"/>
      <c r="C381" s="1"/>
      <c r="D381" s="1"/>
      <c r="E381" s="1"/>
      <c r="F381" s="1"/>
      <c r="G381" s="1"/>
      <c r="H381" s="1"/>
      <c r="I381" s="188"/>
      <c r="J381" s="189"/>
      <c r="K381" s="189"/>
      <c r="L381" s="189"/>
      <c r="M381" s="190" t="s">
        <v>179</v>
      </c>
      <c r="N381" s="189"/>
      <c r="O381" s="189"/>
      <c r="P381" s="189"/>
      <c r="Q381" s="19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98"/>
      <c r="AD381" s="99"/>
      <c r="AE381" s="99"/>
      <c r="AF381" s="99"/>
      <c r="AG381" s="101" t="s">
        <v>179</v>
      </c>
      <c r="AH381" s="99"/>
      <c r="AI381" s="99"/>
      <c r="AJ381" s="99"/>
      <c r="AK381" s="100"/>
      <c r="AL381" s="1"/>
      <c r="AM381" s="1"/>
      <c r="AN381" s="1"/>
      <c r="AO381" s="1"/>
      <c r="AP381" s="1"/>
      <c r="AQ381" s="1"/>
      <c r="AR381" s="1"/>
      <c r="AS381" s="86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</row>
    <row r="382" spans="1:81" ht="15.6" customHeight="1" thickBot="1">
      <c r="A382" s="1"/>
      <c r="B382" s="8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86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</row>
    <row r="383" spans="1:81" ht="16.149999999999999" customHeight="1" thickBot="1">
      <c r="A383" s="1"/>
      <c r="B383" s="85"/>
      <c r="C383" s="1"/>
      <c r="D383" s="1"/>
      <c r="E383" s="1"/>
      <c r="F383" s="1"/>
      <c r="G383" s="1"/>
      <c r="H383" s="1"/>
      <c r="I383" s="188"/>
      <c r="J383" s="189"/>
      <c r="K383" s="189"/>
      <c r="L383" s="189"/>
      <c r="M383" s="190" t="s">
        <v>147</v>
      </c>
      <c r="N383" s="189"/>
      <c r="O383" s="189"/>
      <c r="P383" s="189"/>
      <c r="Q383" s="19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98"/>
      <c r="AD383" s="99"/>
      <c r="AE383" s="99"/>
      <c r="AF383" s="99"/>
      <c r="AG383" s="101" t="s">
        <v>147</v>
      </c>
      <c r="AH383" s="99"/>
      <c r="AI383" s="99"/>
      <c r="AJ383" s="99"/>
      <c r="AK383" s="100"/>
      <c r="AL383" s="1"/>
      <c r="AM383" s="1"/>
      <c r="AN383" s="1"/>
      <c r="AO383" s="1"/>
      <c r="AP383" s="1"/>
      <c r="AQ383" s="1"/>
      <c r="AR383" s="1"/>
      <c r="AS383" s="86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</row>
    <row r="384" spans="1:81" ht="16.149999999999999" customHeight="1" thickBot="1">
      <c r="A384" s="1"/>
      <c r="B384" s="8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86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</row>
    <row r="385" spans="1:81" ht="16.149999999999999" customHeight="1">
      <c r="A385" s="1"/>
      <c r="B385" s="8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265" t="s">
        <v>142</v>
      </c>
      <c r="AF385" s="266"/>
      <c r="AG385" s="266"/>
      <c r="AH385" s="266"/>
      <c r="AI385" s="266"/>
      <c r="AJ385" s="266"/>
      <c r="AK385" s="266"/>
      <c r="AL385" s="267"/>
      <c r="AM385" s="265" t="s">
        <v>145</v>
      </c>
      <c r="AN385" s="266"/>
      <c r="AO385" s="266"/>
      <c r="AP385" s="266"/>
      <c r="AQ385" s="266"/>
      <c r="AR385" s="267"/>
      <c r="AS385" s="86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</row>
    <row r="386" spans="1:81" ht="16.149999999999999" customHeight="1" thickBot="1">
      <c r="A386" s="1"/>
      <c r="B386" s="8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271"/>
      <c r="AF386" s="261"/>
      <c r="AG386" s="261"/>
      <c r="AH386" s="261"/>
      <c r="AI386" s="261"/>
      <c r="AJ386" s="261"/>
      <c r="AK386" s="261"/>
      <c r="AL386" s="264"/>
      <c r="AM386" s="271"/>
      <c r="AN386" s="261"/>
      <c r="AO386" s="261"/>
      <c r="AP386" s="261"/>
      <c r="AQ386" s="261"/>
      <c r="AR386" s="264"/>
      <c r="AS386" s="86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</row>
    <row r="387" spans="1:81" ht="16.149999999999999" customHeight="1">
      <c r="A387" s="1"/>
      <c r="B387" s="89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</row>
    <row r="388" spans="1:81" ht="16.149999999999999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</row>
    <row r="389" spans="1:81" ht="16.149999999999999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</row>
    <row r="390" spans="1:81" ht="16.149999999999999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</row>
    <row r="391" spans="1:81" ht="16.149999999999999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</row>
    <row r="392" spans="1:81" ht="16.149999999999999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</row>
    <row r="393" spans="1:81" ht="16.149999999999999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</row>
    <row r="394" spans="1:81" ht="16.149999999999999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</row>
    <row r="395" spans="1:81" ht="16.149999999999999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</row>
    <row r="396" spans="1:81" ht="16.149999999999999" customHeight="1">
      <c r="A396" s="300"/>
      <c r="B396" s="300"/>
      <c r="C396" s="301"/>
      <c r="D396" s="302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00"/>
      <c r="AA396" s="300"/>
      <c r="AB396" s="300"/>
      <c r="AC396" s="300"/>
      <c r="AD396" s="300"/>
      <c r="AE396" s="300"/>
      <c r="AF396" s="300"/>
      <c r="AG396" s="300"/>
      <c r="AH396" s="300"/>
      <c r="AI396" s="300"/>
      <c r="AJ396" s="300"/>
      <c r="AK396" s="300"/>
      <c r="AL396" s="300"/>
      <c r="AM396" s="300"/>
      <c r="AN396" s="300"/>
      <c r="AO396" s="300"/>
      <c r="AP396" s="300"/>
      <c r="AQ396" s="300"/>
      <c r="AR396" s="300"/>
      <c r="AS396" s="300"/>
      <c r="AT396" s="300"/>
      <c r="AU396" s="300"/>
      <c r="AV396" s="300"/>
      <c r="AW396" s="300"/>
      <c r="AX396" s="300"/>
      <c r="AY396" s="300"/>
      <c r="AZ396" s="300"/>
      <c r="BA396" s="300"/>
      <c r="BB396" s="300"/>
      <c r="BC396" s="300"/>
      <c r="BD396" s="300"/>
      <c r="BE396" s="300"/>
      <c r="BF396" s="300"/>
      <c r="BG396" s="300"/>
      <c r="BH396" s="300"/>
      <c r="BI396" s="300"/>
      <c r="BJ396" s="300"/>
      <c r="BK396" s="300"/>
      <c r="BL396" s="300"/>
      <c r="BM396" s="300"/>
      <c r="BN396" s="300"/>
      <c r="BO396" s="300"/>
      <c r="BP396" s="300"/>
      <c r="BQ396" s="300"/>
      <c r="BR396" s="300"/>
      <c r="BS396" s="300"/>
      <c r="BT396" s="300"/>
      <c r="BU396" s="300"/>
      <c r="BV396" s="300"/>
      <c r="BW396" s="300"/>
      <c r="BX396" s="300"/>
      <c r="BY396" s="300"/>
      <c r="BZ396" s="300"/>
      <c r="CA396" s="300"/>
      <c r="CB396" s="300"/>
      <c r="CC396" s="303" t="s">
        <v>1049</v>
      </c>
    </row>
  </sheetData>
  <mergeCells count="66">
    <mergeCell ref="BE315:BQ315"/>
    <mergeCell ref="AU313:AW315"/>
    <mergeCell ref="AX313:BD315"/>
    <mergeCell ref="AU336:AW341"/>
    <mergeCell ref="AX336:BD341"/>
    <mergeCell ref="B338:I339"/>
    <mergeCell ref="AU318:AW319"/>
    <mergeCell ref="AX318:BD319"/>
    <mergeCell ref="AU321:AW322"/>
    <mergeCell ref="AU323:AW324"/>
    <mergeCell ref="AU325:AW327"/>
    <mergeCell ref="AU328:AW330"/>
    <mergeCell ref="AX328:BD330"/>
    <mergeCell ref="AX325:BD327"/>
    <mergeCell ref="AX323:BD324"/>
    <mergeCell ref="AX321:BD322"/>
    <mergeCell ref="AU379:AW380"/>
    <mergeCell ref="AX379:BD380"/>
    <mergeCell ref="AU373:AW377"/>
    <mergeCell ref="AX373:BD377"/>
    <mergeCell ref="G66:S66"/>
    <mergeCell ref="AN338:AR338"/>
    <mergeCell ref="D312:J313"/>
    <mergeCell ref="D315:J316"/>
    <mergeCell ref="D318:J319"/>
    <mergeCell ref="D321:J322"/>
    <mergeCell ref="AN310:AR310"/>
    <mergeCell ref="J295:O297"/>
    <mergeCell ref="D295:I297"/>
    <mergeCell ref="G282:H282"/>
    <mergeCell ref="G284:K285"/>
    <mergeCell ref="L284:O285"/>
    <mergeCell ref="AE385:AL386"/>
    <mergeCell ref="W326:AA327"/>
    <mergeCell ref="AB326:AF327"/>
    <mergeCell ref="AG326:AJ327"/>
    <mergeCell ref="AK326:AQ327"/>
    <mergeCell ref="AM385:AR386"/>
    <mergeCell ref="W354:AA355"/>
    <mergeCell ref="AB354:AF355"/>
    <mergeCell ref="AG354:AJ355"/>
    <mergeCell ref="AK354:AQ355"/>
    <mergeCell ref="G286:K287"/>
    <mergeCell ref="L286:O287"/>
    <mergeCell ref="AU286:AW287"/>
    <mergeCell ref="AX286:BD287"/>
    <mergeCell ref="AU290:AW291"/>
    <mergeCell ref="AX290:BD291"/>
    <mergeCell ref="L288:O290"/>
    <mergeCell ref="AP79:AU79"/>
    <mergeCell ref="AK80:AO88"/>
    <mergeCell ref="AP80:AU83"/>
    <mergeCell ref="D81:H85"/>
    <mergeCell ref="I84:M85"/>
    <mergeCell ref="AP84:AU88"/>
    <mergeCell ref="D86:H88"/>
    <mergeCell ref="I86:M87"/>
    <mergeCell ref="AQ148:AV148"/>
    <mergeCell ref="AL149:AP152"/>
    <mergeCell ref="AQ149:AV150"/>
    <mergeCell ref="AQ151:AV152"/>
    <mergeCell ref="E233:O233"/>
    <mergeCell ref="D150:H155"/>
    <mergeCell ref="I151:M152"/>
    <mergeCell ref="I153:M155"/>
    <mergeCell ref="D156:H158"/>
  </mergeCells>
  <phoneticPr fontId="1" type="noConversion"/>
  <hyperlinks>
    <hyperlink ref="E233" location="링크_투표달성보상" display="→ 여기 클릭 시 관련 테이블로 이동" xr:uid="{C425814B-19A1-4DF9-8B1B-9AA6C40F0B2B}"/>
    <hyperlink ref="G66" location="링크_SEASON" display="→ 여기 클릭 시 시즌 관련 테이블로 이동" xr:uid="{C3C0E2B7-3F08-41E5-8151-76554360B4A0}"/>
    <hyperlink ref="BE315" location="링크_리소스_UI" display="  → 여기 클릭 시 리소스 목록 UI 설명으로 이동" xr:uid="{22B935CF-B9E8-4917-9C25-39E13E81F79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440A-A33D-4D28-AF03-050D3C8FBBD0}">
  <dimension ref="A1:D5"/>
  <sheetViews>
    <sheetView showGridLines="0" workbookViewId="0">
      <selection activeCell="A3" sqref="A3"/>
    </sheetView>
  </sheetViews>
  <sheetFormatPr defaultColWidth="10" defaultRowHeight="13.9" customHeight="1"/>
  <cols>
    <col min="1" max="1" width="39.28515625" style="132" bestFit="1" customWidth="1"/>
    <col min="2" max="3" width="11.28515625" style="132" customWidth="1"/>
    <col min="4" max="4" width="49.42578125" style="132" bestFit="1" customWidth="1"/>
    <col min="5" max="16384" width="10" style="132"/>
  </cols>
  <sheetData>
    <row r="1" spans="1:4" ht="13.9" customHeight="1">
      <c r="A1" s="131" t="s">
        <v>598</v>
      </c>
      <c r="B1" s="131" t="s">
        <v>599</v>
      </c>
      <c r="C1" s="131" t="s">
        <v>600</v>
      </c>
      <c r="D1" s="131" t="s">
        <v>601</v>
      </c>
    </row>
    <row r="2" spans="1:4" ht="13.9" customHeight="1">
      <c r="A2" s="134" t="s">
        <v>602</v>
      </c>
      <c r="B2" s="134" t="s">
        <v>603</v>
      </c>
      <c r="C2" s="134" t="s">
        <v>604</v>
      </c>
      <c r="D2" s="134" t="s">
        <v>605</v>
      </c>
    </row>
    <row r="3" spans="1:4" ht="13.9" customHeight="1">
      <c r="A3" s="133" t="s">
        <v>608</v>
      </c>
      <c r="B3" s="133" t="s">
        <v>606</v>
      </c>
      <c r="C3" s="133">
        <v>5000</v>
      </c>
      <c r="D3" s="133" t="s">
        <v>607</v>
      </c>
    </row>
    <row r="4" spans="1:4" ht="13.9" customHeight="1">
      <c r="A4" s="133" t="s">
        <v>610</v>
      </c>
      <c r="B4" s="133" t="s">
        <v>606</v>
      </c>
      <c r="C4" s="133">
        <v>30</v>
      </c>
      <c r="D4" s="133" t="s">
        <v>609</v>
      </c>
    </row>
    <row r="5" spans="1:4" ht="13.9" customHeight="1">
      <c r="A5" s="133" t="s">
        <v>611</v>
      </c>
      <c r="B5" s="133" t="s">
        <v>606</v>
      </c>
      <c r="C5" s="133">
        <v>2000</v>
      </c>
      <c r="D5" s="133" t="s">
        <v>612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991C-0815-4908-BF3E-1CE9E3A04BD9}">
  <dimension ref="A1:E44"/>
  <sheetViews>
    <sheetView showGridLines="0" workbookViewId="0"/>
  </sheetViews>
  <sheetFormatPr defaultColWidth="9" defaultRowHeight="12"/>
  <cols>
    <col min="1" max="1" width="9" style="120"/>
    <col min="2" max="5" width="13.5703125" style="120" customWidth="1"/>
    <col min="6" max="16384" width="9" style="120"/>
  </cols>
  <sheetData>
    <row r="1" spans="1:5">
      <c r="A1" s="117" t="s">
        <v>229</v>
      </c>
      <c r="B1" s="117" t="s">
        <v>235</v>
      </c>
      <c r="C1" s="117" t="s">
        <v>236</v>
      </c>
      <c r="D1" s="117" t="s">
        <v>239</v>
      </c>
      <c r="E1" s="117" t="s">
        <v>240</v>
      </c>
    </row>
    <row r="2" spans="1:5">
      <c r="A2" s="118" t="s">
        <v>231</v>
      </c>
      <c r="B2" s="118" t="s">
        <v>237</v>
      </c>
      <c r="C2" s="118" t="s">
        <v>238</v>
      </c>
      <c r="D2" s="118" t="s">
        <v>241</v>
      </c>
      <c r="E2" s="118" t="s">
        <v>242</v>
      </c>
    </row>
    <row r="3" spans="1:5">
      <c r="A3" s="119" t="s">
        <v>233</v>
      </c>
      <c r="B3" s="119" t="s">
        <v>233</v>
      </c>
      <c r="C3" s="119" t="s">
        <v>233</v>
      </c>
      <c r="D3" s="119" t="s">
        <v>233</v>
      </c>
      <c r="E3" s="119" t="s">
        <v>233</v>
      </c>
    </row>
    <row r="4" spans="1:5">
      <c r="A4" s="122">
        <v>10001</v>
      </c>
      <c r="B4" s="139" t="s">
        <v>719</v>
      </c>
      <c r="C4" s="123">
        <v>0.52083333333333337</v>
      </c>
      <c r="D4" s="139" t="s">
        <v>641</v>
      </c>
      <c r="E4" s="123">
        <v>0.99998842592592585</v>
      </c>
    </row>
    <row r="5" spans="1:5">
      <c r="A5" s="122">
        <v>10002</v>
      </c>
      <c r="B5" s="139" t="s">
        <v>642</v>
      </c>
      <c r="C5" s="123">
        <v>0.52083333333333337</v>
      </c>
      <c r="D5" s="139" t="s">
        <v>643</v>
      </c>
      <c r="E5" s="123">
        <v>0.99998842592592585</v>
      </c>
    </row>
    <row r="6" spans="1:5">
      <c r="A6" s="122">
        <v>10003</v>
      </c>
      <c r="B6" s="139" t="s">
        <v>647</v>
      </c>
      <c r="C6" s="123">
        <v>0.52083333333333337</v>
      </c>
      <c r="D6" s="139" t="s">
        <v>711</v>
      </c>
      <c r="E6" s="123">
        <v>0.99998842592592585</v>
      </c>
    </row>
    <row r="7" spans="1:5">
      <c r="A7" s="122">
        <v>10004</v>
      </c>
      <c r="B7" s="139" t="s">
        <v>648</v>
      </c>
      <c r="C7" s="123">
        <v>0.52083333333333337</v>
      </c>
      <c r="D7" s="139" t="s">
        <v>712</v>
      </c>
      <c r="E7" s="123">
        <v>0.99998842592592596</v>
      </c>
    </row>
    <row r="8" spans="1:5">
      <c r="A8" s="122">
        <v>10005</v>
      </c>
      <c r="B8" s="139" t="s">
        <v>649</v>
      </c>
      <c r="C8" s="123">
        <v>0.52083333333333337</v>
      </c>
      <c r="D8" s="139" t="s">
        <v>713</v>
      </c>
      <c r="E8" s="123">
        <v>0.99998842592592596</v>
      </c>
    </row>
    <row r="9" spans="1:5">
      <c r="A9" s="122">
        <v>10006</v>
      </c>
      <c r="B9" s="139" t="s">
        <v>650</v>
      </c>
      <c r="C9" s="123">
        <v>0.52083333333333337</v>
      </c>
      <c r="D9" s="139" t="s">
        <v>714</v>
      </c>
      <c r="E9" s="123">
        <v>0.99998842592592596</v>
      </c>
    </row>
    <row r="10" spans="1:5">
      <c r="A10" s="122">
        <v>10007</v>
      </c>
      <c r="B10" s="139" t="s">
        <v>651</v>
      </c>
      <c r="C10" s="123">
        <v>0.52083333333333337</v>
      </c>
      <c r="D10" s="139" t="s">
        <v>715</v>
      </c>
      <c r="E10" s="123">
        <v>0.99998842592592596</v>
      </c>
    </row>
    <row r="11" spans="1:5">
      <c r="A11" s="122">
        <v>10008</v>
      </c>
      <c r="B11" s="139" t="s">
        <v>652</v>
      </c>
      <c r="C11" s="123">
        <v>0.52083333333333337</v>
      </c>
      <c r="D11" s="139" t="s">
        <v>716</v>
      </c>
      <c r="E11" s="123">
        <v>0.99998842592592596</v>
      </c>
    </row>
    <row r="12" spans="1:5">
      <c r="A12" s="122">
        <v>10009</v>
      </c>
      <c r="B12" s="139" t="s">
        <v>653</v>
      </c>
      <c r="C12" s="123">
        <v>0.52083333333333337</v>
      </c>
      <c r="D12" s="139" t="s">
        <v>717</v>
      </c>
      <c r="E12" s="123">
        <v>0.99998842592592596</v>
      </c>
    </row>
    <row r="13" spans="1:5">
      <c r="A13" s="122">
        <v>10010</v>
      </c>
      <c r="B13" s="139" t="s">
        <v>654</v>
      </c>
      <c r="C13" s="123">
        <v>0.52083333333333337</v>
      </c>
      <c r="D13" s="139" t="s">
        <v>718</v>
      </c>
      <c r="E13" s="123">
        <v>0.99998842592592596</v>
      </c>
    </row>
    <row r="14" spans="1:5">
      <c r="A14" s="122">
        <v>10011</v>
      </c>
      <c r="B14" s="139" t="s">
        <v>655</v>
      </c>
      <c r="C14" s="123">
        <v>0.52083333333333337</v>
      </c>
      <c r="D14" s="139" t="s">
        <v>685</v>
      </c>
      <c r="E14" s="123">
        <v>0.99998842592592596</v>
      </c>
    </row>
    <row r="15" spans="1:5">
      <c r="A15" s="122">
        <v>10012</v>
      </c>
      <c r="B15" s="139" t="s">
        <v>656</v>
      </c>
      <c r="C15" s="123">
        <v>0.52083333333333337</v>
      </c>
      <c r="D15" s="139" t="s">
        <v>686</v>
      </c>
      <c r="E15" s="123">
        <v>0.99998842592592596</v>
      </c>
    </row>
    <row r="16" spans="1:5">
      <c r="A16" s="122">
        <v>10013</v>
      </c>
      <c r="B16" s="139" t="s">
        <v>657</v>
      </c>
      <c r="C16" s="123">
        <v>0.52083333333333337</v>
      </c>
      <c r="D16" s="139" t="s">
        <v>687</v>
      </c>
      <c r="E16" s="123">
        <v>0.99998842592592596</v>
      </c>
    </row>
    <row r="17" spans="1:5">
      <c r="A17" s="122">
        <v>10014</v>
      </c>
      <c r="B17" s="139" t="s">
        <v>658</v>
      </c>
      <c r="C17" s="123">
        <v>0.52083333333333337</v>
      </c>
      <c r="D17" s="139" t="s">
        <v>688</v>
      </c>
      <c r="E17" s="123">
        <v>0.99998842592592596</v>
      </c>
    </row>
    <row r="18" spans="1:5">
      <c r="A18" s="122">
        <v>10015</v>
      </c>
      <c r="B18" s="139" t="s">
        <v>659</v>
      </c>
      <c r="C18" s="123">
        <v>0.52083333333333337</v>
      </c>
      <c r="D18" s="139" t="s">
        <v>689</v>
      </c>
      <c r="E18" s="123">
        <v>0.99998842592592596</v>
      </c>
    </row>
    <row r="19" spans="1:5">
      <c r="A19" s="122">
        <v>10016</v>
      </c>
      <c r="B19" s="139" t="s">
        <v>660</v>
      </c>
      <c r="C19" s="123">
        <v>0.52083333333333337</v>
      </c>
      <c r="D19" s="139" t="s">
        <v>690</v>
      </c>
      <c r="E19" s="123">
        <v>0.99998842592592596</v>
      </c>
    </row>
    <row r="20" spans="1:5">
      <c r="A20" s="122">
        <v>10017</v>
      </c>
      <c r="B20" s="139" t="s">
        <v>661</v>
      </c>
      <c r="C20" s="123">
        <v>0.52083333333333337</v>
      </c>
      <c r="D20" s="139" t="s">
        <v>691</v>
      </c>
      <c r="E20" s="123">
        <v>0.99998842592592596</v>
      </c>
    </row>
    <row r="21" spans="1:5">
      <c r="A21" s="122">
        <v>10018</v>
      </c>
      <c r="B21" s="139" t="s">
        <v>662</v>
      </c>
      <c r="C21" s="123">
        <v>0.52083333333333337</v>
      </c>
      <c r="D21" s="139" t="s">
        <v>692</v>
      </c>
      <c r="E21" s="123">
        <v>0.99998842592592596</v>
      </c>
    </row>
    <row r="22" spans="1:5">
      <c r="A22" s="122">
        <v>10019</v>
      </c>
      <c r="B22" s="139" t="s">
        <v>663</v>
      </c>
      <c r="C22" s="123">
        <v>0.52083333333333337</v>
      </c>
      <c r="D22" s="139" t="s">
        <v>693</v>
      </c>
      <c r="E22" s="123">
        <v>0.99998842592592596</v>
      </c>
    </row>
    <row r="23" spans="1:5">
      <c r="A23" s="122">
        <v>10020</v>
      </c>
      <c r="B23" s="139" t="s">
        <v>664</v>
      </c>
      <c r="C23" s="123">
        <v>0.52083333333333337</v>
      </c>
      <c r="D23" s="139" t="s">
        <v>694</v>
      </c>
      <c r="E23" s="123">
        <v>0.99998842592592596</v>
      </c>
    </row>
    <row r="24" spans="1:5">
      <c r="A24" s="122">
        <v>10021</v>
      </c>
      <c r="B24" s="139" t="s">
        <v>665</v>
      </c>
      <c r="C24" s="123">
        <v>0.52083333333333337</v>
      </c>
      <c r="D24" s="139" t="s">
        <v>695</v>
      </c>
      <c r="E24" s="123">
        <v>0.99998842592592596</v>
      </c>
    </row>
    <row r="25" spans="1:5">
      <c r="A25" s="122">
        <v>10022</v>
      </c>
      <c r="B25" s="139" t="s">
        <v>666</v>
      </c>
      <c r="C25" s="123">
        <v>0.52083333333333337</v>
      </c>
      <c r="D25" s="139" t="s">
        <v>696</v>
      </c>
      <c r="E25" s="123">
        <v>0.99998842592592596</v>
      </c>
    </row>
    <row r="26" spans="1:5">
      <c r="A26" s="122">
        <v>10023</v>
      </c>
      <c r="B26" s="139" t="s">
        <v>667</v>
      </c>
      <c r="C26" s="123">
        <v>0.52083333333333337</v>
      </c>
      <c r="D26" s="139" t="s">
        <v>697</v>
      </c>
      <c r="E26" s="123">
        <v>0.99998842592592596</v>
      </c>
    </row>
    <row r="27" spans="1:5">
      <c r="A27" s="122">
        <v>10024</v>
      </c>
      <c r="B27" s="139" t="s">
        <v>668</v>
      </c>
      <c r="C27" s="123">
        <v>0.52083333333333337</v>
      </c>
      <c r="D27" s="139" t="s">
        <v>698</v>
      </c>
      <c r="E27" s="123">
        <v>0.99998842592592596</v>
      </c>
    </row>
    <row r="28" spans="1:5">
      <c r="A28" s="122">
        <v>10025</v>
      </c>
      <c r="B28" s="139" t="s">
        <v>669</v>
      </c>
      <c r="C28" s="123">
        <v>0.52083333333333337</v>
      </c>
      <c r="D28" s="139" t="s">
        <v>699</v>
      </c>
      <c r="E28" s="123">
        <v>0.99998842592592596</v>
      </c>
    </row>
    <row r="29" spans="1:5">
      <c r="A29" s="122">
        <v>10026</v>
      </c>
      <c r="B29" s="139" t="s">
        <v>670</v>
      </c>
      <c r="C29" s="123">
        <v>0.52083333333333337</v>
      </c>
      <c r="D29" s="139" t="s">
        <v>700</v>
      </c>
      <c r="E29" s="123">
        <v>0.99998842592592596</v>
      </c>
    </row>
    <row r="30" spans="1:5">
      <c r="A30" s="122">
        <v>10027</v>
      </c>
      <c r="B30" s="139" t="s">
        <v>671</v>
      </c>
      <c r="C30" s="123">
        <v>0.52083333333333337</v>
      </c>
      <c r="D30" s="139" t="s">
        <v>701</v>
      </c>
      <c r="E30" s="123">
        <v>0.99998842592592596</v>
      </c>
    </row>
    <row r="31" spans="1:5">
      <c r="A31" s="122">
        <v>10028</v>
      </c>
      <c r="B31" s="139" t="s">
        <v>672</v>
      </c>
      <c r="C31" s="123">
        <v>0.52083333333333337</v>
      </c>
      <c r="D31" s="139" t="s">
        <v>702</v>
      </c>
      <c r="E31" s="123">
        <v>0.99998842592592596</v>
      </c>
    </row>
    <row r="32" spans="1:5">
      <c r="A32" s="122">
        <v>10029</v>
      </c>
      <c r="B32" s="139" t="s">
        <v>673</v>
      </c>
      <c r="C32" s="123">
        <v>0.52083333333333337</v>
      </c>
      <c r="D32" s="139" t="s">
        <v>703</v>
      </c>
      <c r="E32" s="123">
        <v>0.99998842592592596</v>
      </c>
    </row>
    <row r="33" spans="1:5">
      <c r="A33" s="122">
        <v>10030</v>
      </c>
      <c r="B33" s="139" t="s">
        <v>674</v>
      </c>
      <c r="C33" s="123">
        <v>0.52083333333333337</v>
      </c>
      <c r="D33" s="139" t="s">
        <v>704</v>
      </c>
      <c r="E33" s="123">
        <v>0.99998842592592596</v>
      </c>
    </row>
    <row r="34" spans="1:5">
      <c r="A34" s="122">
        <v>10031</v>
      </c>
      <c r="B34" s="139" t="s">
        <v>675</v>
      </c>
      <c r="C34" s="123">
        <v>0.52083333333333337</v>
      </c>
      <c r="D34" s="139" t="s">
        <v>705</v>
      </c>
      <c r="E34" s="123">
        <v>0.99998842592592596</v>
      </c>
    </row>
    <row r="35" spans="1:5">
      <c r="A35" s="122">
        <v>10032</v>
      </c>
      <c r="B35" s="139" t="s">
        <v>676</v>
      </c>
      <c r="C35" s="123">
        <v>0.52083333333333337</v>
      </c>
      <c r="D35" s="139" t="s">
        <v>706</v>
      </c>
      <c r="E35" s="123">
        <v>0.99998842592592596</v>
      </c>
    </row>
    <row r="36" spans="1:5">
      <c r="A36" s="122">
        <v>10033</v>
      </c>
      <c r="B36" s="139" t="s">
        <v>677</v>
      </c>
      <c r="C36" s="123">
        <v>0.52083333333333337</v>
      </c>
      <c r="D36" s="139" t="s">
        <v>707</v>
      </c>
      <c r="E36" s="123">
        <v>0.99998842592592596</v>
      </c>
    </row>
    <row r="37" spans="1:5">
      <c r="A37" s="122">
        <v>10034</v>
      </c>
      <c r="B37" s="139" t="s">
        <v>678</v>
      </c>
      <c r="C37" s="123">
        <v>0.52083333333333337</v>
      </c>
      <c r="D37" s="139" t="s">
        <v>708</v>
      </c>
      <c r="E37" s="123">
        <v>0.99998842592592596</v>
      </c>
    </row>
    <row r="38" spans="1:5">
      <c r="A38" s="122">
        <v>10035</v>
      </c>
      <c r="B38" s="139" t="s">
        <v>679</v>
      </c>
      <c r="C38" s="123">
        <v>0.52083333333333337</v>
      </c>
      <c r="D38" s="139" t="s">
        <v>709</v>
      </c>
      <c r="E38" s="123">
        <v>0.99998842592592596</v>
      </c>
    </row>
    <row r="39" spans="1:5">
      <c r="A39" s="122">
        <v>10036</v>
      </c>
      <c r="B39" s="139" t="s">
        <v>680</v>
      </c>
      <c r="C39" s="123">
        <v>0.52083333333333337</v>
      </c>
      <c r="D39" s="139" t="s">
        <v>710</v>
      </c>
      <c r="E39" s="123">
        <v>0.99998842592592596</v>
      </c>
    </row>
    <row r="40" spans="1:5">
      <c r="A40" s="122">
        <v>10037</v>
      </c>
      <c r="B40" s="139" t="s">
        <v>681</v>
      </c>
      <c r="C40" s="123">
        <v>0.52083333333333337</v>
      </c>
      <c r="D40" s="139" t="s">
        <v>683</v>
      </c>
      <c r="E40" s="123">
        <v>0.99998842592592596</v>
      </c>
    </row>
    <row r="41" spans="1:5">
      <c r="A41" s="122">
        <v>10038</v>
      </c>
      <c r="B41" s="139" t="s">
        <v>682</v>
      </c>
      <c r="C41" s="123">
        <v>0.52083333333333337</v>
      </c>
      <c r="D41" s="139" t="s">
        <v>684</v>
      </c>
      <c r="E41" s="123">
        <v>0.99998842592592596</v>
      </c>
    </row>
    <row r="42" spans="1:5">
      <c r="B42" s="121"/>
    </row>
    <row r="43" spans="1:5">
      <c r="B43" s="121"/>
    </row>
    <row r="44" spans="1:5">
      <c r="B44" s="121"/>
    </row>
  </sheetData>
  <phoneticPr fontId="1" type="noConversion"/>
  <conditionalFormatting sqref="A4:A41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A203-377A-4A89-B80E-B5E96BBB53C1}">
  <dimension ref="A1:H7"/>
  <sheetViews>
    <sheetView showGridLines="0" workbookViewId="0"/>
  </sheetViews>
  <sheetFormatPr defaultColWidth="9" defaultRowHeight="12"/>
  <cols>
    <col min="1" max="1" width="9" style="120"/>
    <col min="2" max="2" width="14.42578125" style="120" bestFit="1" customWidth="1"/>
    <col min="3" max="3" width="15.42578125" style="120" bestFit="1" customWidth="1"/>
    <col min="4" max="4" width="13.7109375" style="120" bestFit="1" customWidth="1"/>
    <col min="5" max="5" width="13.7109375" style="120" customWidth="1"/>
    <col min="6" max="6" width="14.7109375" style="120" bestFit="1" customWidth="1"/>
    <col min="7" max="7" width="16.28515625" style="120" bestFit="1" customWidth="1"/>
    <col min="8" max="8" width="21" style="120" customWidth="1"/>
    <col min="9" max="16384" width="9" style="120"/>
  </cols>
  <sheetData>
    <row r="1" spans="1:8">
      <c r="A1" s="117" t="s">
        <v>229</v>
      </c>
      <c r="B1" s="117" t="s">
        <v>644</v>
      </c>
      <c r="C1" s="117" t="s">
        <v>646</v>
      </c>
      <c r="D1" s="117" t="s">
        <v>590</v>
      </c>
      <c r="E1" s="117" t="s">
        <v>592</v>
      </c>
      <c r="F1" s="117" t="s">
        <v>720</v>
      </c>
      <c r="G1" s="117" t="s">
        <v>722</v>
      </c>
      <c r="H1" s="117" t="s">
        <v>594</v>
      </c>
    </row>
    <row r="2" spans="1:8">
      <c r="A2" s="118" t="s">
        <v>231</v>
      </c>
      <c r="B2" s="118" t="s">
        <v>645</v>
      </c>
      <c r="C2" s="118" t="s">
        <v>589</v>
      </c>
      <c r="D2" s="118" t="s">
        <v>591</v>
      </c>
      <c r="E2" s="118" t="s">
        <v>593</v>
      </c>
      <c r="F2" s="118" t="s">
        <v>721</v>
      </c>
      <c r="G2" s="118" t="s">
        <v>723</v>
      </c>
      <c r="H2" s="118" t="s">
        <v>595</v>
      </c>
    </row>
    <row r="3" spans="1:8">
      <c r="A3" s="119" t="s">
        <v>233</v>
      </c>
      <c r="B3" s="119" t="s">
        <v>233</v>
      </c>
      <c r="C3" s="119" t="s">
        <v>233</v>
      </c>
      <c r="D3" s="119" t="s">
        <v>233</v>
      </c>
      <c r="E3" s="119" t="s">
        <v>233</v>
      </c>
      <c r="F3" s="119" t="s">
        <v>233</v>
      </c>
      <c r="G3" s="119" t="s">
        <v>233</v>
      </c>
      <c r="H3" s="119" t="s">
        <v>596</v>
      </c>
    </row>
    <row r="4" spans="1:8">
      <c r="A4" s="122">
        <f>10000+B4</f>
        <v>10001</v>
      </c>
      <c r="B4" s="122">
        <v>1</v>
      </c>
      <c r="C4" s="140">
        <v>0.1</v>
      </c>
      <c r="D4" s="122">
        <v>1717003</v>
      </c>
      <c r="E4" s="122">
        <v>1200</v>
      </c>
      <c r="F4" s="122" t="str">
        <f>"RANK_NAME_"&amp;B4</f>
        <v>RANK_NAME_1</v>
      </c>
      <c r="G4" s="122" t="str">
        <f>"RANK_ICON_"&amp;B4</f>
        <v>RANK_ICON_1</v>
      </c>
      <c r="H4" s="138" t="str">
        <f>VLOOKUP(D4,ITEM!$A$4:$B$346,2,0)&amp;" X"&amp;E4</f>
        <v>청휘석 X1200</v>
      </c>
    </row>
    <row r="5" spans="1:8">
      <c r="A5" s="122">
        <f t="shared" ref="A5:A7" si="0">10000+B5</f>
        <v>10002</v>
      </c>
      <c r="B5" s="122">
        <v>2</v>
      </c>
      <c r="C5" s="140">
        <v>0.3</v>
      </c>
      <c r="D5" s="122">
        <v>1717003</v>
      </c>
      <c r="E5" s="122">
        <v>900</v>
      </c>
      <c r="F5" s="122" t="str">
        <f t="shared" ref="F5:F7" si="1">"RANK_NAME_"&amp;B5</f>
        <v>RANK_NAME_2</v>
      </c>
      <c r="G5" s="122" t="str">
        <f t="shared" ref="G5:G7" si="2">"RANK_ICON_"&amp;B5</f>
        <v>RANK_ICON_2</v>
      </c>
      <c r="H5" s="138" t="str">
        <f>VLOOKUP(D5,ITEM!$A$4:$B$346,2,0)&amp;" X"&amp;E5</f>
        <v>청휘석 X900</v>
      </c>
    </row>
    <row r="6" spans="1:8">
      <c r="A6" s="122">
        <f t="shared" si="0"/>
        <v>10003</v>
      </c>
      <c r="B6" s="122">
        <v>3</v>
      </c>
      <c r="C6" s="140">
        <v>0.6</v>
      </c>
      <c r="D6" s="122">
        <v>1717003</v>
      </c>
      <c r="E6" s="122">
        <v>600</v>
      </c>
      <c r="F6" s="122" t="str">
        <f t="shared" si="1"/>
        <v>RANK_NAME_3</v>
      </c>
      <c r="G6" s="122" t="str">
        <f t="shared" si="2"/>
        <v>RANK_ICON_3</v>
      </c>
      <c r="H6" s="138" t="str">
        <f>VLOOKUP(D6,ITEM!$A$4:$B$346,2,0)&amp;" X"&amp;E6</f>
        <v>청휘석 X600</v>
      </c>
    </row>
    <row r="7" spans="1:8">
      <c r="A7" s="122">
        <f t="shared" si="0"/>
        <v>10004</v>
      </c>
      <c r="B7" s="122">
        <v>4</v>
      </c>
      <c r="C7" s="140">
        <v>1</v>
      </c>
      <c r="D7" s="122">
        <v>1717003</v>
      </c>
      <c r="E7" s="122">
        <v>300</v>
      </c>
      <c r="F7" s="122" t="str">
        <f t="shared" si="1"/>
        <v>RANK_NAME_4</v>
      </c>
      <c r="G7" s="122" t="str">
        <f t="shared" si="2"/>
        <v>RANK_ICON_4</v>
      </c>
      <c r="H7" s="138" t="str">
        <f>VLOOKUP(D7,ITEM!$A$4:$B$346,2,0)&amp;" X"&amp;E7</f>
        <v>청휘석 X300</v>
      </c>
    </row>
  </sheetData>
  <phoneticPr fontId="1" type="noConversion"/>
  <conditionalFormatting sqref="A4:A7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63C8-2EAF-407E-AED3-DA5EB4E1BBF9}">
  <dimension ref="A1:E6"/>
  <sheetViews>
    <sheetView showGridLines="0" workbookViewId="0"/>
  </sheetViews>
  <sheetFormatPr defaultColWidth="9" defaultRowHeight="12"/>
  <cols>
    <col min="1" max="1" width="9" style="120"/>
    <col min="2" max="2" width="14.42578125" style="120" customWidth="1"/>
    <col min="3" max="3" width="14.42578125" style="120" bestFit="1" customWidth="1"/>
    <col min="4" max="4" width="14.42578125" style="120" customWidth="1"/>
    <col min="5" max="5" width="25.140625" style="120" customWidth="1"/>
    <col min="6" max="16384" width="9" style="120"/>
  </cols>
  <sheetData>
    <row r="1" spans="1:5">
      <c r="A1" s="117" t="s">
        <v>229</v>
      </c>
      <c r="B1" s="117" t="s">
        <v>613</v>
      </c>
      <c r="C1" s="117" t="s">
        <v>590</v>
      </c>
      <c r="D1" s="117" t="s">
        <v>592</v>
      </c>
      <c r="E1" s="117" t="s">
        <v>615</v>
      </c>
    </row>
    <row r="2" spans="1:5">
      <c r="A2" s="118" t="s">
        <v>231</v>
      </c>
      <c r="B2" s="118" t="s">
        <v>614</v>
      </c>
      <c r="C2" s="118" t="s">
        <v>591</v>
      </c>
      <c r="D2" s="118" t="s">
        <v>593</v>
      </c>
      <c r="E2" s="118" t="s">
        <v>616</v>
      </c>
    </row>
    <row r="3" spans="1:5">
      <c r="A3" s="119" t="s">
        <v>233</v>
      </c>
      <c r="B3" s="119" t="s">
        <v>233</v>
      </c>
      <c r="C3" s="119" t="s">
        <v>233</v>
      </c>
      <c r="D3" s="119" t="s">
        <v>233</v>
      </c>
      <c r="E3" s="119" t="s">
        <v>617</v>
      </c>
    </row>
    <row r="4" spans="1:5">
      <c r="A4" s="122">
        <f>10000+B4</f>
        <v>10010</v>
      </c>
      <c r="B4" s="122">
        <v>10</v>
      </c>
      <c r="C4" s="122">
        <v>303004</v>
      </c>
      <c r="D4" s="122">
        <v>3</v>
      </c>
      <c r="E4" s="138" t="str">
        <f>VLOOKUP(C4,ITEM!$A:$B,2,0)&amp;" X"&amp;D4</f>
        <v>일반 활동 보고서 X3</v>
      </c>
    </row>
    <row r="5" spans="1:5">
      <c r="A5" s="122">
        <f t="shared" ref="A5:A6" si="0">10000+B5</f>
        <v>10020</v>
      </c>
      <c r="B5" s="122">
        <v>20</v>
      </c>
      <c r="C5" s="122">
        <v>304002</v>
      </c>
      <c r="D5" s="122">
        <v>5</v>
      </c>
      <c r="E5" s="138" t="str">
        <f>VLOOKUP(C5,ITEM!$A:$B,2,0)&amp;" X"&amp;D5</f>
        <v>기동석 X5</v>
      </c>
    </row>
    <row r="6" spans="1:5">
      <c r="A6" s="122">
        <f t="shared" si="0"/>
        <v>10030</v>
      </c>
      <c r="B6" s="122">
        <v>30</v>
      </c>
      <c r="C6" s="122">
        <v>1717001</v>
      </c>
      <c r="D6" s="122">
        <v>50</v>
      </c>
      <c r="E6" s="138" t="str">
        <f>VLOOKUP(C6,ITEM!$A:$B,2,0)&amp;" X"&amp;D6</f>
        <v>AP X50</v>
      </c>
    </row>
  </sheetData>
  <phoneticPr fontId="1" type="noConversion"/>
  <conditionalFormatting sqref="A4:A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1B80-9ADE-4AD4-880C-F146EC7A626A}">
  <dimension ref="A1:B119"/>
  <sheetViews>
    <sheetView showGridLines="0" workbookViewId="0"/>
  </sheetViews>
  <sheetFormatPr defaultRowHeight="12"/>
  <cols>
    <col min="1" max="1" width="33.28515625" customWidth="1"/>
    <col min="2" max="2" width="17.7109375" bestFit="1" customWidth="1"/>
  </cols>
  <sheetData>
    <row r="1" spans="1:2">
      <c r="A1" s="231" t="s">
        <v>882</v>
      </c>
      <c r="B1" s="231" t="s">
        <v>991</v>
      </c>
    </row>
    <row r="2" spans="1:2">
      <c r="A2" s="232" t="s">
        <v>756</v>
      </c>
      <c r="B2" s="232" t="s">
        <v>605</v>
      </c>
    </row>
    <row r="3" spans="1:2">
      <c r="A3" s="229" t="s">
        <v>883</v>
      </c>
      <c r="B3" s="230" t="s">
        <v>786</v>
      </c>
    </row>
    <row r="4" spans="1:2">
      <c r="A4" s="229" t="s">
        <v>884</v>
      </c>
      <c r="B4" s="230" t="s">
        <v>787</v>
      </c>
    </row>
    <row r="5" spans="1:2">
      <c r="A5" s="229" t="s">
        <v>885</v>
      </c>
      <c r="B5" s="230" t="s">
        <v>788</v>
      </c>
    </row>
    <row r="6" spans="1:2">
      <c r="A6" s="229" t="s">
        <v>886</v>
      </c>
      <c r="B6" s="230" t="s">
        <v>789</v>
      </c>
    </row>
    <row r="7" spans="1:2">
      <c r="A7" s="229" t="s">
        <v>887</v>
      </c>
      <c r="B7" s="230" t="s">
        <v>790</v>
      </c>
    </row>
    <row r="8" spans="1:2">
      <c r="A8" s="229" t="s">
        <v>888</v>
      </c>
      <c r="B8" s="230" t="s">
        <v>791</v>
      </c>
    </row>
    <row r="9" spans="1:2">
      <c r="A9" s="229" t="s">
        <v>889</v>
      </c>
      <c r="B9" s="230" t="s">
        <v>792</v>
      </c>
    </row>
    <row r="10" spans="1:2">
      <c r="A10" s="229" t="s">
        <v>890</v>
      </c>
      <c r="B10" s="230" t="s">
        <v>793</v>
      </c>
    </row>
    <row r="11" spans="1:2">
      <c r="A11" s="229" t="s">
        <v>891</v>
      </c>
      <c r="B11" s="230" t="s">
        <v>794</v>
      </c>
    </row>
    <row r="12" spans="1:2">
      <c r="A12" s="229" t="s">
        <v>892</v>
      </c>
      <c r="B12" s="230" t="s">
        <v>795</v>
      </c>
    </row>
    <row r="13" spans="1:2">
      <c r="A13" s="229" t="s">
        <v>893</v>
      </c>
      <c r="B13" s="230" t="s">
        <v>796</v>
      </c>
    </row>
    <row r="14" spans="1:2">
      <c r="A14" s="229" t="s">
        <v>894</v>
      </c>
      <c r="B14" s="230" t="s">
        <v>797</v>
      </c>
    </row>
    <row r="15" spans="1:2">
      <c r="A15" s="229" t="s">
        <v>895</v>
      </c>
      <c r="B15" s="230" t="s">
        <v>798</v>
      </c>
    </row>
    <row r="16" spans="1:2">
      <c r="A16" s="229" t="s">
        <v>896</v>
      </c>
      <c r="B16" s="230" t="s">
        <v>799</v>
      </c>
    </row>
    <row r="17" spans="1:2">
      <c r="A17" s="229" t="s">
        <v>897</v>
      </c>
      <c r="B17" s="230" t="s">
        <v>800</v>
      </c>
    </row>
    <row r="18" spans="1:2">
      <c r="A18" s="229" t="s">
        <v>898</v>
      </c>
      <c r="B18" s="230" t="s">
        <v>801</v>
      </c>
    </row>
    <row r="19" spans="1:2">
      <c r="A19" s="229" t="s">
        <v>899</v>
      </c>
      <c r="B19" s="230" t="s">
        <v>802</v>
      </c>
    </row>
    <row r="20" spans="1:2">
      <c r="A20" s="229" t="s">
        <v>900</v>
      </c>
      <c r="B20" s="230" t="s">
        <v>803</v>
      </c>
    </row>
    <row r="21" spans="1:2">
      <c r="A21" s="229" t="s">
        <v>901</v>
      </c>
      <c r="B21" s="230" t="s">
        <v>804</v>
      </c>
    </row>
    <row r="22" spans="1:2">
      <c r="A22" s="229" t="s">
        <v>902</v>
      </c>
      <c r="B22" s="230" t="s">
        <v>805</v>
      </c>
    </row>
    <row r="23" spans="1:2">
      <c r="A23" s="229" t="s">
        <v>903</v>
      </c>
      <c r="B23" s="230" t="s">
        <v>806</v>
      </c>
    </row>
    <row r="24" spans="1:2">
      <c r="A24" s="229" t="s">
        <v>904</v>
      </c>
      <c r="B24" s="230" t="s">
        <v>807</v>
      </c>
    </row>
    <row r="25" spans="1:2">
      <c r="A25" s="229" t="s">
        <v>905</v>
      </c>
      <c r="B25" s="230" t="s">
        <v>808</v>
      </c>
    </row>
    <row r="26" spans="1:2">
      <c r="A26" s="229" t="s">
        <v>906</v>
      </c>
      <c r="B26" s="230" t="s">
        <v>809</v>
      </c>
    </row>
    <row r="27" spans="1:2">
      <c r="A27" s="229" t="s">
        <v>907</v>
      </c>
      <c r="B27" s="230" t="s">
        <v>810</v>
      </c>
    </row>
    <row r="28" spans="1:2">
      <c r="A28" s="229" t="s">
        <v>908</v>
      </c>
      <c r="B28" s="230" t="s">
        <v>811</v>
      </c>
    </row>
    <row r="29" spans="1:2">
      <c r="A29" s="229" t="s">
        <v>909</v>
      </c>
      <c r="B29" s="230" t="s">
        <v>812</v>
      </c>
    </row>
    <row r="30" spans="1:2">
      <c r="A30" s="229" t="s">
        <v>910</v>
      </c>
      <c r="B30" s="230" t="s">
        <v>813</v>
      </c>
    </row>
    <row r="31" spans="1:2">
      <c r="A31" s="229" t="s">
        <v>911</v>
      </c>
      <c r="B31" s="230" t="s">
        <v>814</v>
      </c>
    </row>
    <row r="32" spans="1:2">
      <c r="A32" s="229" t="s">
        <v>912</v>
      </c>
      <c r="B32" s="230" t="s">
        <v>815</v>
      </c>
    </row>
    <row r="33" spans="1:2">
      <c r="A33" s="229" t="s">
        <v>913</v>
      </c>
      <c r="B33" s="230" t="s">
        <v>816</v>
      </c>
    </row>
    <row r="34" spans="1:2">
      <c r="A34" s="229" t="s">
        <v>914</v>
      </c>
      <c r="B34" s="230" t="s">
        <v>817</v>
      </c>
    </row>
    <row r="35" spans="1:2">
      <c r="A35" s="229" t="s">
        <v>915</v>
      </c>
      <c r="B35" s="230" t="s">
        <v>818</v>
      </c>
    </row>
    <row r="36" spans="1:2">
      <c r="A36" s="229" t="s">
        <v>916</v>
      </c>
      <c r="B36" s="230" t="s">
        <v>819</v>
      </c>
    </row>
    <row r="37" spans="1:2">
      <c r="A37" s="229" t="s">
        <v>917</v>
      </c>
      <c r="B37" s="230" t="s">
        <v>820</v>
      </c>
    </row>
    <row r="38" spans="1:2">
      <c r="A38" s="229" t="s">
        <v>918</v>
      </c>
      <c r="B38" s="230" t="s">
        <v>821</v>
      </c>
    </row>
    <row r="39" spans="1:2">
      <c r="A39" s="229" t="s">
        <v>919</v>
      </c>
      <c r="B39" s="230" t="s">
        <v>822</v>
      </c>
    </row>
    <row r="40" spans="1:2">
      <c r="A40" s="229" t="s">
        <v>920</v>
      </c>
      <c r="B40" s="230" t="s">
        <v>823</v>
      </c>
    </row>
    <row r="41" spans="1:2">
      <c r="A41" s="229" t="s">
        <v>921</v>
      </c>
      <c r="B41" s="230" t="s">
        <v>824</v>
      </c>
    </row>
    <row r="42" spans="1:2">
      <c r="A42" s="229" t="s">
        <v>922</v>
      </c>
      <c r="B42" s="230" t="s">
        <v>825</v>
      </c>
    </row>
    <row r="43" spans="1:2">
      <c r="A43" s="229" t="s">
        <v>923</v>
      </c>
      <c r="B43" s="230" t="s">
        <v>826</v>
      </c>
    </row>
    <row r="44" spans="1:2">
      <c r="A44" s="229" t="s">
        <v>924</v>
      </c>
      <c r="B44" s="230" t="s">
        <v>827</v>
      </c>
    </row>
    <row r="45" spans="1:2">
      <c r="A45" s="229" t="s">
        <v>925</v>
      </c>
      <c r="B45" s="230" t="s">
        <v>828</v>
      </c>
    </row>
    <row r="46" spans="1:2">
      <c r="A46" s="229" t="s">
        <v>926</v>
      </c>
      <c r="B46" s="230" t="s">
        <v>829</v>
      </c>
    </row>
    <row r="47" spans="1:2">
      <c r="A47" s="229" t="s">
        <v>927</v>
      </c>
      <c r="B47" s="230" t="s">
        <v>830</v>
      </c>
    </row>
    <row r="48" spans="1:2">
      <c r="A48" s="229" t="s">
        <v>928</v>
      </c>
      <c r="B48" s="230" t="s">
        <v>831</v>
      </c>
    </row>
    <row r="49" spans="1:2">
      <c r="A49" s="229" t="s">
        <v>929</v>
      </c>
      <c r="B49" s="230" t="s">
        <v>832</v>
      </c>
    </row>
    <row r="50" spans="1:2">
      <c r="A50" s="229" t="s">
        <v>930</v>
      </c>
      <c r="B50" s="230" t="s">
        <v>833</v>
      </c>
    </row>
    <row r="51" spans="1:2">
      <c r="A51" s="229" t="s">
        <v>931</v>
      </c>
      <c r="B51" s="230" t="s">
        <v>834</v>
      </c>
    </row>
    <row r="52" spans="1:2">
      <c r="A52" s="229" t="s">
        <v>932</v>
      </c>
      <c r="B52" s="230" t="s">
        <v>835</v>
      </c>
    </row>
    <row r="53" spans="1:2">
      <c r="A53" s="229" t="s">
        <v>933</v>
      </c>
      <c r="B53" s="230" t="s">
        <v>836</v>
      </c>
    </row>
    <row r="54" spans="1:2">
      <c r="A54" s="229" t="s">
        <v>934</v>
      </c>
      <c r="B54" s="230" t="s">
        <v>837</v>
      </c>
    </row>
    <row r="55" spans="1:2">
      <c r="A55" s="229" t="s">
        <v>935</v>
      </c>
      <c r="B55" s="230" t="s">
        <v>838</v>
      </c>
    </row>
    <row r="56" spans="1:2">
      <c r="A56" s="229" t="s">
        <v>936</v>
      </c>
      <c r="B56" s="230" t="s">
        <v>839</v>
      </c>
    </row>
    <row r="57" spans="1:2">
      <c r="A57" s="229" t="s">
        <v>937</v>
      </c>
      <c r="B57" s="230" t="s">
        <v>840</v>
      </c>
    </row>
    <row r="58" spans="1:2">
      <c r="A58" s="229" t="s">
        <v>938</v>
      </c>
      <c r="B58" s="230" t="s">
        <v>841</v>
      </c>
    </row>
    <row r="59" spans="1:2">
      <c r="A59" s="229" t="s">
        <v>939</v>
      </c>
      <c r="B59" s="230" t="s">
        <v>842</v>
      </c>
    </row>
    <row r="60" spans="1:2">
      <c r="A60" s="229" t="s">
        <v>940</v>
      </c>
      <c r="B60" s="230" t="s">
        <v>843</v>
      </c>
    </row>
    <row r="61" spans="1:2">
      <c r="A61" s="229" t="s">
        <v>941</v>
      </c>
      <c r="B61" s="230" t="s">
        <v>844</v>
      </c>
    </row>
    <row r="62" spans="1:2">
      <c r="A62" s="229" t="s">
        <v>942</v>
      </c>
      <c r="B62" s="230" t="s">
        <v>845</v>
      </c>
    </row>
    <row r="63" spans="1:2">
      <c r="A63" s="229" t="s">
        <v>943</v>
      </c>
      <c r="B63" s="230" t="s">
        <v>846</v>
      </c>
    </row>
    <row r="64" spans="1:2">
      <c r="A64" s="229" t="s">
        <v>944</v>
      </c>
      <c r="B64" s="230" t="s">
        <v>847</v>
      </c>
    </row>
    <row r="65" spans="1:2">
      <c r="A65" s="229" t="s">
        <v>945</v>
      </c>
      <c r="B65" s="230" t="s">
        <v>848</v>
      </c>
    </row>
    <row r="66" spans="1:2">
      <c r="A66" s="229" t="s">
        <v>946</v>
      </c>
      <c r="B66" s="230" t="s">
        <v>849</v>
      </c>
    </row>
    <row r="67" spans="1:2">
      <c r="A67" s="229" t="s">
        <v>947</v>
      </c>
      <c r="B67" s="230" t="s">
        <v>850</v>
      </c>
    </row>
    <row r="68" spans="1:2">
      <c r="A68" s="229" t="s">
        <v>948</v>
      </c>
      <c r="B68" s="230" t="s">
        <v>851</v>
      </c>
    </row>
    <row r="69" spans="1:2">
      <c r="A69" s="229" t="s">
        <v>949</v>
      </c>
      <c r="B69" s="230" t="s">
        <v>852</v>
      </c>
    </row>
    <row r="70" spans="1:2">
      <c r="A70" s="229" t="s">
        <v>950</v>
      </c>
      <c r="B70" s="230" t="s">
        <v>853</v>
      </c>
    </row>
    <row r="71" spans="1:2">
      <c r="A71" s="229" t="s">
        <v>951</v>
      </c>
      <c r="B71" s="230" t="s">
        <v>854</v>
      </c>
    </row>
    <row r="72" spans="1:2">
      <c r="A72" s="229" t="s">
        <v>952</v>
      </c>
      <c r="B72" s="230" t="s">
        <v>855</v>
      </c>
    </row>
    <row r="73" spans="1:2">
      <c r="A73" s="229" t="s">
        <v>953</v>
      </c>
      <c r="B73" s="230" t="s">
        <v>856</v>
      </c>
    </row>
    <row r="74" spans="1:2">
      <c r="A74" s="229" t="s">
        <v>954</v>
      </c>
      <c r="B74" s="230" t="s">
        <v>857</v>
      </c>
    </row>
    <row r="75" spans="1:2">
      <c r="A75" s="229" t="s">
        <v>955</v>
      </c>
      <c r="B75" s="230" t="s">
        <v>858</v>
      </c>
    </row>
    <row r="76" spans="1:2">
      <c r="A76" s="229" t="s">
        <v>956</v>
      </c>
      <c r="B76" s="230" t="s">
        <v>859</v>
      </c>
    </row>
    <row r="77" spans="1:2">
      <c r="A77" s="229" t="s">
        <v>957</v>
      </c>
      <c r="B77" s="230" t="s">
        <v>860</v>
      </c>
    </row>
    <row r="78" spans="1:2">
      <c r="A78" s="229" t="s">
        <v>958</v>
      </c>
      <c r="B78" s="230" t="s">
        <v>861</v>
      </c>
    </row>
    <row r="79" spans="1:2">
      <c r="A79" s="229" t="s">
        <v>959</v>
      </c>
      <c r="B79" s="230" t="s">
        <v>862</v>
      </c>
    </row>
    <row r="80" spans="1:2">
      <c r="A80" s="229" t="s">
        <v>960</v>
      </c>
      <c r="B80" s="230" t="s">
        <v>863</v>
      </c>
    </row>
    <row r="81" spans="1:2">
      <c r="A81" s="229" t="s">
        <v>961</v>
      </c>
      <c r="B81" s="230" t="s">
        <v>864</v>
      </c>
    </row>
    <row r="82" spans="1:2">
      <c r="A82" s="229" t="s">
        <v>962</v>
      </c>
      <c r="B82" s="230" t="s">
        <v>865</v>
      </c>
    </row>
    <row r="83" spans="1:2">
      <c r="A83" s="229" t="s">
        <v>963</v>
      </c>
      <c r="B83" s="230" t="s">
        <v>866</v>
      </c>
    </row>
    <row r="84" spans="1:2">
      <c r="A84" s="229" t="s">
        <v>964</v>
      </c>
      <c r="B84" s="230" t="s">
        <v>867</v>
      </c>
    </row>
    <row r="85" spans="1:2">
      <c r="A85" s="229" t="s">
        <v>965</v>
      </c>
      <c r="B85" s="230" t="s">
        <v>868</v>
      </c>
    </row>
    <row r="86" spans="1:2">
      <c r="A86" s="229" t="s">
        <v>966</v>
      </c>
      <c r="B86" s="230" t="s">
        <v>869</v>
      </c>
    </row>
    <row r="87" spans="1:2">
      <c r="A87" s="229" t="s">
        <v>967</v>
      </c>
      <c r="B87" s="230" t="s">
        <v>870</v>
      </c>
    </row>
    <row r="88" spans="1:2">
      <c r="A88" s="229" t="s">
        <v>968</v>
      </c>
      <c r="B88" s="230" t="s">
        <v>871</v>
      </c>
    </row>
    <row r="89" spans="1:2">
      <c r="A89" s="229" t="s">
        <v>969</v>
      </c>
      <c r="B89" s="230" t="s">
        <v>872</v>
      </c>
    </row>
    <row r="90" spans="1:2">
      <c r="A90" s="229" t="s">
        <v>970</v>
      </c>
      <c r="B90" s="230" t="s">
        <v>873</v>
      </c>
    </row>
    <row r="91" spans="1:2">
      <c r="A91" s="229" t="s">
        <v>971</v>
      </c>
      <c r="B91" s="230" t="s">
        <v>874</v>
      </c>
    </row>
    <row r="92" spans="1:2">
      <c r="A92" s="229" t="s">
        <v>972</v>
      </c>
      <c r="B92" s="230" t="s">
        <v>875</v>
      </c>
    </row>
    <row r="93" spans="1:2">
      <c r="A93" s="229" t="s">
        <v>973</v>
      </c>
      <c r="B93" s="230" t="s">
        <v>876</v>
      </c>
    </row>
    <row r="94" spans="1:2">
      <c r="A94" s="229" t="s">
        <v>974</v>
      </c>
      <c r="B94" s="230" t="s">
        <v>877</v>
      </c>
    </row>
    <row r="95" spans="1:2">
      <c r="A95" s="229" t="s">
        <v>975</v>
      </c>
      <c r="B95" s="230" t="s">
        <v>878</v>
      </c>
    </row>
    <row r="96" spans="1:2">
      <c r="A96" s="229" t="s">
        <v>976</v>
      </c>
      <c r="B96" s="230" t="s">
        <v>879</v>
      </c>
    </row>
    <row r="97" spans="1:2">
      <c r="A97" s="229" t="s">
        <v>977</v>
      </c>
      <c r="B97" s="230" t="s">
        <v>880</v>
      </c>
    </row>
    <row r="98" spans="1:2">
      <c r="A98" s="229" t="s">
        <v>978</v>
      </c>
      <c r="B98" s="230" t="s">
        <v>881</v>
      </c>
    </row>
    <row r="99" spans="1:2">
      <c r="A99" s="229" t="s">
        <v>979</v>
      </c>
      <c r="B99" s="230" t="s">
        <v>1001</v>
      </c>
    </row>
    <row r="100" spans="1:2">
      <c r="A100" s="229" t="s">
        <v>980</v>
      </c>
      <c r="B100" s="230" t="s">
        <v>1002</v>
      </c>
    </row>
    <row r="101" spans="1:2">
      <c r="A101" s="229" t="s">
        <v>981</v>
      </c>
      <c r="B101" s="230" t="s">
        <v>1003</v>
      </c>
    </row>
    <row r="102" spans="1:2">
      <c r="A102" s="229" t="s">
        <v>982</v>
      </c>
      <c r="B102" s="230" t="s">
        <v>1004</v>
      </c>
    </row>
    <row r="103" spans="1:2">
      <c r="A103" s="229" t="s">
        <v>983</v>
      </c>
      <c r="B103" s="230" t="s">
        <v>1005</v>
      </c>
    </row>
    <row r="104" spans="1:2">
      <c r="A104" s="229" t="s">
        <v>984</v>
      </c>
      <c r="B104" s="230" t="s">
        <v>1006</v>
      </c>
    </row>
    <row r="105" spans="1:2">
      <c r="A105" s="229" t="s">
        <v>985</v>
      </c>
      <c r="B105" s="230" t="s">
        <v>1007</v>
      </c>
    </row>
    <row r="106" spans="1:2">
      <c r="A106" s="229" t="s">
        <v>986</v>
      </c>
      <c r="B106" s="230" t="s">
        <v>1008</v>
      </c>
    </row>
    <row r="107" spans="1:2">
      <c r="A107" s="229" t="s">
        <v>987</v>
      </c>
      <c r="B107" s="230" t="s">
        <v>1009</v>
      </c>
    </row>
    <row r="108" spans="1:2">
      <c r="A108" s="229" t="s">
        <v>988</v>
      </c>
      <c r="B108" s="230" t="s">
        <v>1010</v>
      </c>
    </row>
    <row r="109" spans="1:2">
      <c r="A109" s="229" t="s">
        <v>989</v>
      </c>
      <c r="B109" s="230" t="s">
        <v>1011</v>
      </c>
    </row>
    <row r="110" spans="1:2">
      <c r="A110" s="229" t="s">
        <v>990</v>
      </c>
      <c r="B110" s="230" t="s">
        <v>1012</v>
      </c>
    </row>
    <row r="111" spans="1:2">
      <c r="A111" s="229" t="s">
        <v>992</v>
      </c>
      <c r="B111" s="230" t="s">
        <v>1013</v>
      </c>
    </row>
    <row r="112" spans="1:2">
      <c r="A112" s="229" t="s">
        <v>993</v>
      </c>
      <c r="B112" s="230" t="s">
        <v>1014</v>
      </c>
    </row>
    <row r="113" spans="1:2">
      <c r="A113" s="229" t="s">
        <v>994</v>
      </c>
      <c r="B113" s="230" t="s">
        <v>1015</v>
      </c>
    </row>
    <row r="114" spans="1:2">
      <c r="A114" s="229" t="s">
        <v>995</v>
      </c>
      <c r="B114" s="230" t="s">
        <v>1016</v>
      </c>
    </row>
    <row r="115" spans="1:2">
      <c r="A115" s="229" t="s">
        <v>996</v>
      </c>
      <c r="B115" s="230" t="s">
        <v>1017</v>
      </c>
    </row>
    <row r="116" spans="1:2">
      <c r="A116" s="229" t="s">
        <v>997</v>
      </c>
      <c r="B116" s="230" t="s">
        <v>1018</v>
      </c>
    </row>
    <row r="117" spans="1:2">
      <c r="A117" s="229" t="s">
        <v>998</v>
      </c>
      <c r="B117" s="230" t="s">
        <v>1019</v>
      </c>
    </row>
    <row r="118" spans="1:2">
      <c r="A118" s="229" t="s">
        <v>999</v>
      </c>
      <c r="B118" s="230" t="s">
        <v>1020</v>
      </c>
    </row>
    <row r="119" spans="1:2">
      <c r="A119" s="229" t="s">
        <v>1000</v>
      </c>
      <c r="B119" s="230" t="s">
        <v>1021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EB6B-A8C2-45CF-BAFF-3F2D836D07BB}">
  <dimension ref="A1:B20"/>
  <sheetViews>
    <sheetView showGridLines="0" workbookViewId="0">
      <selection activeCell="A3" sqref="A3"/>
    </sheetView>
  </sheetViews>
  <sheetFormatPr defaultRowHeight="12"/>
  <cols>
    <col min="1" max="1" width="38.140625" bestFit="1" customWidth="1"/>
    <col min="2" max="2" width="31.85546875" customWidth="1"/>
  </cols>
  <sheetData>
    <row r="1" spans="1:2">
      <c r="A1" s="233" t="s">
        <v>1022</v>
      </c>
      <c r="B1" s="233" t="s">
        <v>1023</v>
      </c>
    </row>
    <row r="2" spans="1:2">
      <c r="A2" s="234" t="s">
        <v>742</v>
      </c>
      <c r="B2" s="234" t="s">
        <v>742</v>
      </c>
    </row>
    <row r="3" spans="1:2">
      <c r="A3" s="230" t="s">
        <v>1031</v>
      </c>
      <c r="B3" s="230" t="s">
        <v>1024</v>
      </c>
    </row>
    <row r="4" spans="1:2">
      <c r="A4" s="230" t="s">
        <v>1032</v>
      </c>
      <c r="B4" s="230" t="s">
        <v>1025</v>
      </c>
    </row>
    <row r="5" spans="1:2">
      <c r="A5" s="230" t="s">
        <v>1033</v>
      </c>
      <c r="B5" s="230" t="s">
        <v>1029</v>
      </c>
    </row>
    <row r="6" spans="1:2">
      <c r="A6" s="230" t="s">
        <v>1035</v>
      </c>
      <c r="B6" s="230" t="s">
        <v>146</v>
      </c>
    </row>
    <row r="7" spans="1:2">
      <c r="A7" s="230" t="s">
        <v>1036</v>
      </c>
      <c r="B7" s="230" t="s">
        <v>147</v>
      </c>
    </row>
    <row r="8" spans="1:2">
      <c r="A8" s="230" t="s">
        <v>1037</v>
      </c>
      <c r="B8" s="230" t="s">
        <v>149</v>
      </c>
    </row>
    <row r="9" spans="1:2">
      <c r="A9" s="230" t="s">
        <v>1038</v>
      </c>
      <c r="B9" s="230" t="s">
        <v>730</v>
      </c>
    </row>
    <row r="10" spans="1:2">
      <c r="A10" s="230" t="s">
        <v>1039</v>
      </c>
      <c r="B10" s="230" t="s">
        <v>150</v>
      </c>
    </row>
    <row r="11" spans="1:2">
      <c r="A11" s="230" t="s">
        <v>1040</v>
      </c>
      <c r="B11" s="230" t="s">
        <v>731</v>
      </c>
    </row>
    <row r="12" spans="1:2">
      <c r="A12" s="230" t="s">
        <v>1041</v>
      </c>
      <c r="B12" s="230" t="s">
        <v>1026</v>
      </c>
    </row>
    <row r="13" spans="1:2">
      <c r="A13" s="230" t="s">
        <v>1042</v>
      </c>
      <c r="B13" s="230" t="s">
        <v>174</v>
      </c>
    </row>
    <row r="14" spans="1:2">
      <c r="A14" s="230" t="s">
        <v>1043</v>
      </c>
      <c r="B14" s="230" t="s">
        <v>175</v>
      </c>
    </row>
    <row r="15" spans="1:2">
      <c r="A15" s="230" t="s">
        <v>1044</v>
      </c>
      <c r="B15" s="230" t="s">
        <v>176</v>
      </c>
    </row>
    <row r="16" spans="1:2">
      <c r="A16" s="230" t="s">
        <v>1045</v>
      </c>
      <c r="B16" s="230" t="s">
        <v>1027</v>
      </c>
    </row>
    <row r="17" spans="1:2">
      <c r="A17" s="230" t="s">
        <v>1046</v>
      </c>
      <c r="B17" s="230" t="s">
        <v>1028</v>
      </c>
    </row>
    <row r="18" spans="1:2">
      <c r="A18" s="230" t="s">
        <v>1034</v>
      </c>
      <c r="B18" s="230" t="s">
        <v>147</v>
      </c>
    </row>
    <row r="19" spans="1:2">
      <c r="A19" s="230" t="s">
        <v>1047</v>
      </c>
      <c r="B19" s="230" t="s">
        <v>1030</v>
      </c>
    </row>
    <row r="20" spans="1:2">
      <c r="A20" s="230" t="s">
        <v>1048</v>
      </c>
      <c r="B20" s="230" t="s">
        <v>145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B449-920D-46A7-B702-DF40DB870068}">
  <dimension ref="A1:N1003"/>
  <sheetViews>
    <sheetView showGridLines="0" workbookViewId="0">
      <pane ySplit="3" topLeftCell="A4" activePane="bottomLeft" state="frozen"/>
      <selection pane="bottomLeft" activeCell="A4" sqref="A4"/>
    </sheetView>
  </sheetViews>
  <sheetFormatPr defaultColWidth="16.28515625" defaultRowHeight="13.9" customHeight="1"/>
  <cols>
    <col min="1" max="1" width="9.7109375" style="125" customWidth="1"/>
    <col min="2" max="2" width="30.42578125" style="125" customWidth="1"/>
    <col min="3" max="4" width="14.28515625" style="125" customWidth="1"/>
    <col min="5" max="5" width="14" style="125" customWidth="1"/>
    <col min="6" max="6" width="20.5703125" customWidth="1"/>
    <col min="7" max="8" width="19.5703125" customWidth="1"/>
    <col min="9" max="9" width="9.7109375" style="125" customWidth="1"/>
    <col min="10" max="10" width="14.5703125" style="125" bestFit="1" customWidth="1"/>
    <col min="11" max="11" width="10.5703125" style="125" customWidth="1"/>
    <col min="12" max="12" width="7.42578125" style="125" customWidth="1"/>
    <col min="13" max="13" width="13.85546875" style="125" customWidth="1"/>
    <col min="14" max="14" width="18.5703125" style="125" bestFit="1" customWidth="1"/>
    <col min="15" max="22" width="9.7109375" style="125" customWidth="1"/>
    <col min="23" max="16384" width="16.28515625" style="125"/>
  </cols>
  <sheetData>
    <row r="1" spans="1:14" ht="13.9" customHeight="1">
      <c r="A1" s="124" t="s">
        <v>229</v>
      </c>
      <c r="B1" s="124" t="s">
        <v>230</v>
      </c>
      <c r="C1" s="124" t="s">
        <v>243</v>
      </c>
      <c r="D1" s="124" t="s">
        <v>244</v>
      </c>
      <c r="E1" s="124" t="s">
        <v>245</v>
      </c>
      <c r="F1" s="117" t="s">
        <v>737</v>
      </c>
      <c r="G1" s="117" t="s">
        <v>738</v>
      </c>
      <c r="H1" s="117" t="s">
        <v>739</v>
      </c>
    </row>
    <row r="2" spans="1:14" ht="13.9" customHeight="1">
      <c r="A2" s="126" t="s">
        <v>231</v>
      </c>
      <c r="B2" s="126" t="s">
        <v>232</v>
      </c>
      <c r="C2" s="126" t="s">
        <v>246</v>
      </c>
      <c r="D2" s="126" t="s">
        <v>247</v>
      </c>
      <c r="E2" s="126" t="s">
        <v>248</v>
      </c>
      <c r="F2" s="118" t="s">
        <v>232</v>
      </c>
      <c r="G2" s="118" t="s">
        <v>740</v>
      </c>
      <c r="H2" s="118" t="s">
        <v>741</v>
      </c>
    </row>
    <row r="3" spans="1:14" ht="13.9" customHeight="1">
      <c r="A3" s="127" t="s">
        <v>233</v>
      </c>
      <c r="B3" s="127" t="s">
        <v>234</v>
      </c>
      <c r="C3" s="127" t="s">
        <v>233</v>
      </c>
      <c r="D3" s="127" t="s">
        <v>233</v>
      </c>
      <c r="E3" s="127" t="s">
        <v>233</v>
      </c>
      <c r="F3" s="119" t="s">
        <v>742</v>
      </c>
      <c r="G3" s="119" t="s">
        <v>742</v>
      </c>
      <c r="H3" s="119" t="s">
        <v>742</v>
      </c>
    </row>
    <row r="4" spans="1:14" ht="13.9" customHeight="1">
      <c r="A4" s="135">
        <f>C4*ID규칙_아이템_구분_단위+D4*ID규칙_아이템_타입_단위+COUNTIFS($C$4:C4,C4,$D$4:D4,D4)</f>
        <v>101001</v>
      </c>
      <c r="B4" s="129" t="s">
        <v>249</v>
      </c>
      <c r="C4" s="135">
        <v>1</v>
      </c>
      <c r="D4" s="135">
        <v>1</v>
      </c>
      <c r="E4" s="135">
        <v>9999</v>
      </c>
      <c r="F4" s="141" t="str">
        <f>"ITEM_NAME_"&amp;A4</f>
        <v>ITEM_NAME_101001</v>
      </c>
      <c r="G4" s="141" t="str">
        <f>"ITEM_ICON_"&amp;A4</f>
        <v>ITEM_ICON_101001</v>
      </c>
      <c r="H4" s="141" t="str">
        <f>"ITEM_DESC_"&amp;A4</f>
        <v>ITEM_DESC_101001</v>
      </c>
    </row>
    <row r="5" spans="1:14" ht="13.9" customHeight="1">
      <c r="A5" s="128">
        <f>C5*ID규칙_아이템_구분_단위+D5*ID규칙_아이템_타입_단위+COUNTIFS($C$4:C5,C5,$D$4:D5,D5)</f>
        <v>101002</v>
      </c>
      <c r="B5" s="129" t="s">
        <v>250</v>
      </c>
      <c r="C5" s="128">
        <v>1</v>
      </c>
      <c r="D5" s="128">
        <v>1</v>
      </c>
      <c r="E5" s="128">
        <v>9999</v>
      </c>
      <c r="F5" s="141" t="str">
        <f t="shared" ref="F5:F68" si="0">"ITEM_NAME_"&amp;A5</f>
        <v>ITEM_NAME_101002</v>
      </c>
      <c r="G5" s="141" t="str">
        <f t="shared" ref="G5:G68" si="1">"ITEM_ICON_"&amp;A5</f>
        <v>ITEM_ICON_101002</v>
      </c>
      <c r="H5" s="141" t="str">
        <f t="shared" ref="H5:H68" si="2">"ITEM_DESC_"&amp;A5</f>
        <v>ITEM_DESC_101002</v>
      </c>
      <c r="J5" s="142" t="s">
        <v>246</v>
      </c>
      <c r="K5" s="143"/>
      <c r="L5" s="136"/>
      <c r="M5" s="142" t="s">
        <v>247</v>
      </c>
      <c r="N5" s="150"/>
    </row>
    <row r="6" spans="1:14" ht="13.9" customHeight="1">
      <c r="A6" s="128">
        <f>C6*ID규칙_아이템_구분_단위+D6*ID규칙_아이템_타입_단위+COUNTIFS($C$4:C6,C6,$D$4:D6,D6)</f>
        <v>101003</v>
      </c>
      <c r="B6" s="129" t="s">
        <v>251</v>
      </c>
      <c r="C6" s="128">
        <v>1</v>
      </c>
      <c r="D6" s="128">
        <v>1</v>
      </c>
      <c r="E6" s="128">
        <v>9999</v>
      </c>
      <c r="F6" s="141" t="str">
        <f t="shared" si="0"/>
        <v>ITEM_NAME_101003</v>
      </c>
      <c r="G6" s="141" t="str">
        <f t="shared" si="1"/>
        <v>ITEM_ICON_101003</v>
      </c>
      <c r="H6" s="141" t="str">
        <f t="shared" si="2"/>
        <v>ITEM_DESC_101003</v>
      </c>
      <c r="J6" s="144" t="s">
        <v>622</v>
      </c>
      <c r="K6" s="145" t="s">
        <v>621</v>
      </c>
      <c r="L6" s="136"/>
      <c r="M6" s="144" t="s">
        <v>622</v>
      </c>
      <c r="N6" s="145" t="s">
        <v>621</v>
      </c>
    </row>
    <row r="7" spans="1:14" ht="13.9" customHeight="1">
      <c r="A7" s="128">
        <f>C7*ID규칙_아이템_구분_단위+D7*ID규칙_아이템_타입_단위+COUNTIFS($C$4:C7,C7,$D$4:D7,D7)</f>
        <v>101004</v>
      </c>
      <c r="B7" s="129" t="s">
        <v>252</v>
      </c>
      <c r="C7" s="128">
        <v>1</v>
      </c>
      <c r="D7" s="128">
        <v>1</v>
      </c>
      <c r="E7" s="128">
        <v>9999</v>
      </c>
      <c r="F7" s="141" t="str">
        <f t="shared" si="0"/>
        <v>ITEM_NAME_101004</v>
      </c>
      <c r="G7" s="141" t="str">
        <f t="shared" si="1"/>
        <v>ITEM_ICON_101004</v>
      </c>
      <c r="H7" s="141" t="str">
        <f t="shared" si="2"/>
        <v>ITEM_DESC_101004</v>
      </c>
      <c r="I7" s="130"/>
      <c r="J7" s="146">
        <v>1</v>
      </c>
      <c r="K7" s="147" t="s">
        <v>623</v>
      </c>
      <c r="L7" s="136"/>
      <c r="M7" s="146">
        <v>1</v>
      </c>
      <c r="N7" s="147" t="s">
        <v>623</v>
      </c>
    </row>
    <row r="8" spans="1:14" ht="13.9" customHeight="1">
      <c r="A8" s="128">
        <f>C8*ID규칙_아이템_구분_단위+D8*ID규칙_아이템_타입_단위+COUNTIFS($C$4:C8,C8,$D$4:D8,D8)</f>
        <v>101005</v>
      </c>
      <c r="B8" s="129" t="s">
        <v>253</v>
      </c>
      <c r="C8" s="128">
        <v>1</v>
      </c>
      <c r="D8" s="128">
        <v>1</v>
      </c>
      <c r="E8" s="128">
        <v>9999</v>
      </c>
      <c r="F8" s="141" t="str">
        <f t="shared" si="0"/>
        <v>ITEM_NAME_101005</v>
      </c>
      <c r="G8" s="141" t="str">
        <f t="shared" si="1"/>
        <v>ITEM_ICON_101005</v>
      </c>
      <c r="H8" s="141" t="str">
        <f t="shared" si="2"/>
        <v>ITEM_DESC_101005</v>
      </c>
      <c r="I8" s="130"/>
      <c r="J8" s="146">
        <v>2</v>
      </c>
      <c r="K8" s="147" t="s">
        <v>624</v>
      </c>
      <c r="L8" s="136"/>
      <c r="M8" s="146">
        <v>2</v>
      </c>
      <c r="N8" s="147" t="s">
        <v>624</v>
      </c>
    </row>
    <row r="9" spans="1:14" ht="13.9" customHeight="1">
      <c r="A9" s="128">
        <f>C9*ID규칙_아이템_구분_단위+D9*ID규칙_아이템_타입_단위+COUNTIFS($C$4:C9,C9,$D$4:D9,D9)</f>
        <v>101006</v>
      </c>
      <c r="B9" s="129" t="s">
        <v>254</v>
      </c>
      <c r="C9" s="128">
        <v>1</v>
      </c>
      <c r="D9" s="128">
        <v>1</v>
      </c>
      <c r="E9" s="128">
        <v>9999</v>
      </c>
      <c r="F9" s="141" t="str">
        <f t="shared" si="0"/>
        <v>ITEM_NAME_101006</v>
      </c>
      <c r="G9" s="141" t="str">
        <f t="shared" si="1"/>
        <v>ITEM_ICON_101006</v>
      </c>
      <c r="H9" s="141" t="str">
        <f t="shared" si="2"/>
        <v>ITEM_DESC_101006</v>
      </c>
      <c r="I9" s="130"/>
      <c r="J9" s="146">
        <v>3</v>
      </c>
      <c r="K9" s="147" t="s">
        <v>625</v>
      </c>
      <c r="L9" s="136"/>
      <c r="M9" s="146">
        <v>3</v>
      </c>
      <c r="N9" s="147" t="s">
        <v>626</v>
      </c>
    </row>
    <row r="10" spans="1:14" ht="13.9" customHeight="1">
      <c r="A10" s="128">
        <f>C10*ID규칙_아이템_구분_단위+D10*ID규칙_아이템_타입_단위+COUNTIFS($C$4:C10,C10,$D$4:D10,D10)</f>
        <v>101007</v>
      </c>
      <c r="B10" s="129" t="s">
        <v>255</v>
      </c>
      <c r="C10" s="128">
        <v>1</v>
      </c>
      <c r="D10" s="128">
        <v>1</v>
      </c>
      <c r="E10" s="128">
        <v>9999</v>
      </c>
      <c r="F10" s="141" t="str">
        <f t="shared" si="0"/>
        <v>ITEM_NAME_101007</v>
      </c>
      <c r="G10" s="141" t="str">
        <f t="shared" si="1"/>
        <v>ITEM_ICON_101007</v>
      </c>
      <c r="H10" s="141" t="str">
        <f t="shared" si="2"/>
        <v>ITEM_DESC_101007</v>
      </c>
      <c r="I10" s="130"/>
      <c r="J10" s="146">
        <v>4</v>
      </c>
      <c r="K10" s="147" t="s">
        <v>627</v>
      </c>
      <c r="L10" s="136"/>
      <c r="M10" s="146">
        <v>4</v>
      </c>
      <c r="N10" s="147" t="s">
        <v>362</v>
      </c>
    </row>
    <row r="11" spans="1:14" ht="13.9" customHeight="1">
      <c r="A11" s="128">
        <f>C11*ID규칙_아이템_구분_단위+D11*ID규칙_아이템_타입_단위+COUNTIFS($C$4:C11,C11,$D$4:D11,D11)</f>
        <v>101008</v>
      </c>
      <c r="B11" s="129" t="s">
        <v>256</v>
      </c>
      <c r="C11" s="128">
        <v>1</v>
      </c>
      <c r="D11" s="128">
        <v>1</v>
      </c>
      <c r="E11" s="128">
        <v>9999</v>
      </c>
      <c r="F11" s="141" t="str">
        <f t="shared" si="0"/>
        <v>ITEM_NAME_101008</v>
      </c>
      <c r="G11" s="141" t="str">
        <f t="shared" si="1"/>
        <v>ITEM_ICON_101008</v>
      </c>
      <c r="H11" s="141" t="str">
        <f t="shared" si="2"/>
        <v>ITEM_DESC_101008</v>
      </c>
      <c r="I11" s="130"/>
      <c r="J11" s="146">
        <v>5</v>
      </c>
      <c r="K11" s="147" t="s">
        <v>628</v>
      </c>
      <c r="L11" s="136"/>
      <c r="M11" s="146">
        <v>5</v>
      </c>
      <c r="N11" s="147" t="s">
        <v>629</v>
      </c>
    </row>
    <row r="12" spans="1:14" ht="13.9" customHeight="1">
      <c r="A12" s="128">
        <f>C12*ID규칙_아이템_구분_단위+D12*ID규칙_아이템_타입_단위+COUNTIFS($C$4:C12,C12,$D$4:D12,D12)</f>
        <v>101009</v>
      </c>
      <c r="B12" s="129" t="s">
        <v>257</v>
      </c>
      <c r="C12" s="128">
        <v>1</v>
      </c>
      <c r="D12" s="128">
        <v>1</v>
      </c>
      <c r="E12" s="128">
        <v>9999</v>
      </c>
      <c r="F12" s="141" t="str">
        <f t="shared" si="0"/>
        <v>ITEM_NAME_101009</v>
      </c>
      <c r="G12" s="141" t="str">
        <f t="shared" si="1"/>
        <v>ITEM_ICON_101009</v>
      </c>
      <c r="H12" s="141" t="str">
        <f t="shared" si="2"/>
        <v>ITEM_DESC_101009</v>
      </c>
      <c r="I12" s="130"/>
      <c r="J12" s="146">
        <v>6</v>
      </c>
      <c r="K12" s="147" t="s">
        <v>630</v>
      </c>
      <c r="L12" s="136"/>
      <c r="M12" s="146">
        <v>6</v>
      </c>
      <c r="N12" s="147" t="s">
        <v>356</v>
      </c>
    </row>
    <row r="13" spans="1:14" ht="13.9" customHeight="1">
      <c r="A13" s="128">
        <f>C13*ID규칙_아이템_구분_단위+D13*ID규칙_아이템_타입_단위+COUNTIFS($C$4:C13,C13,$D$4:D13,D13)</f>
        <v>101010</v>
      </c>
      <c r="B13" s="129" t="s">
        <v>258</v>
      </c>
      <c r="C13" s="128">
        <v>1</v>
      </c>
      <c r="D13" s="128">
        <v>1</v>
      </c>
      <c r="E13" s="128">
        <v>9999</v>
      </c>
      <c r="F13" s="141" t="str">
        <f t="shared" si="0"/>
        <v>ITEM_NAME_101010</v>
      </c>
      <c r="G13" s="141" t="str">
        <f t="shared" si="1"/>
        <v>ITEM_ICON_101010</v>
      </c>
      <c r="H13" s="141" t="str">
        <f t="shared" si="2"/>
        <v>ITEM_DESC_101010</v>
      </c>
      <c r="I13" s="130"/>
      <c r="J13" s="148">
        <v>7</v>
      </c>
      <c r="K13" s="149" t="s">
        <v>639</v>
      </c>
      <c r="L13" s="136"/>
      <c r="M13" s="146">
        <v>7</v>
      </c>
      <c r="N13" s="147" t="s">
        <v>631</v>
      </c>
    </row>
    <row r="14" spans="1:14" ht="13.9" customHeight="1">
      <c r="A14" s="128">
        <f>C14*ID규칙_아이템_구분_단위+D14*ID규칙_아이템_타입_단위+COUNTIFS($C$4:C14,C14,$D$4:D14,D14)</f>
        <v>101011</v>
      </c>
      <c r="B14" s="129" t="s">
        <v>259</v>
      </c>
      <c r="C14" s="128">
        <v>1</v>
      </c>
      <c r="D14" s="128">
        <v>1</v>
      </c>
      <c r="E14" s="128">
        <v>9999</v>
      </c>
      <c r="F14" s="141" t="str">
        <f t="shared" si="0"/>
        <v>ITEM_NAME_101011</v>
      </c>
      <c r="G14" s="141" t="str">
        <f t="shared" si="1"/>
        <v>ITEM_ICON_101011</v>
      </c>
      <c r="H14" s="141" t="str">
        <f t="shared" si="2"/>
        <v>ITEM_DESC_101011</v>
      </c>
      <c r="I14" s="130"/>
      <c r="J14" s="137"/>
      <c r="K14" s="137"/>
      <c r="L14" s="136"/>
      <c r="M14" s="146">
        <v>8</v>
      </c>
      <c r="N14" s="147" t="s">
        <v>632</v>
      </c>
    </row>
    <row r="15" spans="1:14" ht="13.9" customHeight="1">
      <c r="A15" s="128">
        <f>C15*ID규칙_아이템_구분_단위+D15*ID규칙_아이템_타입_단위+COUNTIFS($C$4:C15,C15,$D$4:D15,D15)</f>
        <v>101012</v>
      </c>
      <c r="B15" s="129" t="s">
        <v>260</v>
      </c>
      <c r="C15" s="128">
        <v>1</v>
      </c>
      <c r="D15" s="128">
        <v>1</v>
      </c>
      <c r="E15" s="128">
        <v>9999</v>
      </c>
      <c r="F15" s="141" t="str">
        <f t="shared" si="0"/>
        <v>ITEM_NAME_101012</v>
      </c>
      <c r="G15" s="141" t="str">
        <f t="shared" si="1"/>
        <v>ITEM_ICON_101012</v>
      </c>
      <c r="H15" s="141" t="str">
        <f t="shared" si="2"/>
        <v>ITEM_DESC_101012</v>
      </c>
      <c r="I15" s="130"/>
      <c r="J15" s="137"/>
      <c r="K15" s="137"/>
      <c r="L15" s="136"/>
      <c r="M15" s="146">
        <v>9</v>
      </c>
      <c r="N15" s="147" t="s">
        <v>633</v>
      </c>
    </row>
    <row r="16" spans="1:14" ht="13.9" customHeight="1">
      <c r="A16" s="128">
        <f>C16*ID규칙_아이템_구분_단위+D16*ID규칙_아이템_타입_단위+COUNTIFS($C$4:C16,C16,$D$4:D16,D16)</f>
        <v>101013</v>
      </c>
      <c r="B16" s="129" t="s">
        <v>261</v>
      </c>
      <c r="C16" s="128">
        <v>1</v>
      </c>
      <c r="D16" s="128">
        <v>1</v>
      </c>
      <c r="E16" s="128">
        <v>9999</v>
      </c>
      <c r="F16" s="141" t="str">
        <f t="shared" si="0"/>
        <v>ITEM_NAME_101013</v>
      </c>
      <c r="G16" s="141" t="str">
        <f t="shared" si="1"/>
        <v>ITEM_ICON_101013</v>
      </c>
      <c r="H16" s="141" t="str">
        <f t="shared" si="2"/>
        <v>ITEM_DESC_101013</v>
      </c>
      <c r="I16" s="130"/>
      <c r="J16" s="137"/>
      <c r="K16" s="137"/>
      <c r="L16" s="136"/>
      <c r="M16" s="146">
        <v>10</v>
      </c>
      <c r="N16" s="147" t="s">
        <v>634</v>
      </c>
    </row>
    <row r="17" spans="1:14" ht="13.9" customHeight="1">
      <c r="A17" s="128">
        <f>C17*ID규칙_아이템_구분_단위+D17*ID규칙_아이템_타입_단위+COUNTIFS($C$4:C17,C17,$D$4:D17,D17)</f>
        <v>101014</v>
      </c>
      <c r="B17" s="129" t="s">
        <v>262</v>
      </c>
      <c r="C17" s="128">
        <v>1</v>
      </c>
      <c r="D17" s="128">
        <v>1</v>
      </c>
      <c r="E17" s="128">
        <v>9999</v>
      </c>
      <c r="F17" s="141" t="str">
        <f t="shared" si="0"/>
        <v>ITEM_NAME_101014</v>
      </c>
      <c r="G17" s="141" t="str">
        <f t="shared" si="1"/>
        <v>ITEM_ICON_101014</v>
      </c>
      <c r="H17" s="141" t="str">
        <f t="shared" si="2"/>
        <v>ITEM_DESC_101014</v>
      </c>
      <c r="I17" s="130"/>
      <c r="J17" s="137"/>
      <c r="K17" s="137"/>
      <c r="L17" s="136"/>
      <c r="M17" s="146">
        <v>11</v>
      </c>
      <c r="N17" s="147" t="s">
        <v>635</v>
      </c>
    </row>
    <row r="18" spans="1:14" ht="13.9" customHeight="1">
      <c r="A18" s="128">
        <f>C18*ID규칙_아이템_구분_단위+D18*ID규칙_아이템_타입_단위+COUNTIFS($C$4:C18,C18,$D$4:D18,D18)</f>
        <v>101015</v>
      </c>
      <c r="B18" s="129" t="s">
        <v>263</v>
      </c>
      <c r="C18" s="128">
        <v>1</v>
      </c>
      <c r="D18" s="128">
        <v>1</v>
      </c>
      <c r="E18" s="128">
        <v>9999</v>
      </c>
      <c r="F18" s="141" t="str">
        <f t="shared" si="0"/>
        <v>ITEM_NAME_101015</v>
      </c>
      <c r="G18" s="141" t="str">
        <f t="shared" si="1"/>
        <v>ITEM_ICON_101015</v>
      </c>
      <c r="H18" s="141" t="str">
        <f t="shared" si="2"/>
        <v>ITEM_DESC_101015</v>
      </c>
      <c r="I18" s="130"/>
      <c r="J18" s="137"/>
      <c r="K18" s="137"/>
      <c r="L18" s="136"/>
      <c r="M18" s="146">
        <v>12</v>
      </c>
      <c r="N18" s="147" t="s">
        <v>636</v>
      </c>
    </row>
    <row r="19" spans="1:14" ht="13.9" customHeight="1">
      <c r="A19" s="128">
        <f>C19*ID규칙_아이템_구분_단위+D19*ID규칙_아이템_타입_단위+COUNTIFS($C$4:C19,C19,$D$4:D19,D19)</f>
        <v>101016</v>
      </c>
      <c r="B19" s="129" t="s">
        <v>264</v>
      </c>
      <c r="C19" s="128">
        <v>1</v>
      </c>
      <c r="D19" s="128">
        <v>1</v>
      </c>
      <c r="E19" s="128">
        <v>9999</v>
      </c>
      <c r="F19" s="141" t="str">
        <f t="shared" si="0"/>
        <v>ITEM_NAME_101016</v>
      </c>
      <c r="G19" s="141" t="str">
        <f t="shared" si="1"/>
        <v>ITEM_ICON_101016</v>
      </c>
      <c r="H19" s="141" t="str">
        <f t="shared" si="2"/>
        <v>ITEM_DESC_101016</v>
      </c>
      <c r="I19" s="130"/>
      <c r="J19" s="137"/>
      <c r="K19" s="137"/>
      <c r="L19" s="136"/>
      <c r="M19" s="146">
        <v>13</v>
      </c>
      <c r="N19" s="147" t="s">
        <v>627</v>
      </c>
    </row>
    <row r="20" spans="1:14" ht="13.9" customHeight="1">
      <c r="A20" s="128">
        <f>C20*ID규칙_아이템_구분_단위+D20*ID규칙_아이템_타입_단위+COUNTIFS($C$4:C20,C20,$D$4:D20,D20)</f>
        <v>101017</v>
      </c>
      <c r="B20" s="129" t="s">
        <v>265</v>
      </c>
      <c r="C20" s="128">
        <v>1</v>
      </c>
      <c r="D20" s="128">
        <v>1</v>
      </c>
      <c r="E20" s="128">
        <v>9999</v>
      </c>
      <c r="F20" s="141" t="str">
        <f t="shared" si="0"/>
        <v>ITEM_NAME_101017</v>
      </c>
      <c r="G20" s="141" t="str">
        <f t="shared" si="1"/>
        <v>ITEM_ICON_101017</v>
      </c>
      <c r="H20" s="141" t="str">
        <f t="shared" si="2"/>
        <v>ITEM_DESC_101017</v>
      </c>
      <c r="J20" s="137"/>
      <c r="K20" s="137"/>
      <c r="L20" s="136"/>
      <c r="M20" s="146">
        <v>14</v>
      </c>
      <c r="N20" s="147" t="s">
        <v>637</v>
      </c>
    </row>
    <row r="21" spans="1:14" ht="13.9" customHeight="1">
      <c r="A21" s="128">
        <f>C21*ID규칙_아이템_구분_단위+D21*ID규칙_아이템_타입_단위+COUNTIFS($C$4:C21,C21,$D$4:D21,D21)</f>
        <v>101018</v>
      </c>
      <c r="B21" s="129" t="s">
        <v>266</v>
      </c>
      <c r="C21" s="128">
        <v>1</v>
      </c>
      <c r="D21" s="128">
        <v>1</v>
      </c>
      <c r="E21" s="128">
        <v>9999</v>
      </c>
      <c r="F21" s="141" t="str">
        <f t="shared" si="0"/>
        <v>ITEM_NAME_101018</v>
      </c>
      <c r="G21" s="141" t="str">
        <f t="shared" si="1"/>
        <v>ITEM_ICON_101018</v>
      </c>
      <c r="H21" s="141" t="str">
        <f t="shared" si="2"/>
        <v>ITEM_DESC_101018</v>
      </c>
      <c r="J21" s="137"/>
      <c r="K21" s="137"/>
      <c r="L21" s="136"/>
      <c r="M21" s="146">
        <v>15</v>
      </c>
      <c r="N21" s="147" t="s">
        <v>638</v>
      </c>
    </row>
    <row r="22" spans="1:14" ht="13.9" customHeight="1">
      <c r="A22" s="128">
        <f>C22*ID규칙_아이템_구분_단위+D22*ID규칙_아이템_타입_단위+COUNTIFS($C$4:C22,C22,$D$4:D22,D22)</f>
        <v>101019</v>
      </c>
      <c r="B22" s="129" t="s">
        <v>267</v>
      </c>
      <c r="C22" s="128">
        <v>1</v>
      </c>
      <c r="D22" s="128">
        <v>1</v>
      </c>
      <c r="E22" s="128">
        <v>9999</v>
      </c>
      <c r="F22" s="141" t="str">
        <f t="shared" si="0"/>
        <v>ITEM_NAME_101019</v>
      </c>
      <c r="G22" s="141" t="str">
        <f t="shared" si="1"/>
        <v>ITEM_ICON_101019</v>
      </c>
      <c r="H22" s="141" t="str">
        <f t="shared" si="2"/>
        <v>ITEM_DESC_101019</v>
      </c>
      <c r="J22" s="137"/>
      <c r="K22" s="137"/>
      <c r="L22" s="136"/>
      <c r="M22" s="146">
        <v>16</v>
      </c>
      <c r="N22" s="147" t="s">
        <v>630</v>
      </c>
    </row>
    <row r="23" spans="1:14" ht="13.9" customHeight="1">
      <c r="A23" s="128">
        <f>C23*ID규칙_아이템_구분_단위+D23*ID규칙_아이템_타입_단위+COUNTIFS($C$4:C23,C23,$D$4:D23,D23)</f>
        <v>101020</v>
      </c>
      <c r="B23" s="129" t="s">
        <v>268</v>
      </c>
      <c r="C23" s="128">
        <v>1</v>
      </c>
      <c r="D23" s="128">
        <v>1</v>
      </c>
      <c r="E23" s="128">
        <v>9999</v>
      </c>
      <c r="F23" s="141" t="str">
        <f t="shared" si="0"/>
        <v>ITEM_NAME_101020</v>
      </c>
      <c r="G23" s="141" t="str">
        <f t="shared" si="1"/>
        <v>ITEM_ICON_101020</v>
      </c>
      <c r="H23" s="141" t="str">
        <f t="shared" si="2"/>
        <v>ITEM_DESC_101020</v>
      </c>
      <c r="M23" s="151">
        <v>17</v>
      </c>
      <c r="N23" s="152" t="s">
        <v>639</v>
      </c>
    </row>
    <row r="24" spans="1:14" ht="13.9" customHeight="1">
      <c r="A24" s="128">
        <f>C24*ID규칙_아이템_구분_단위+D24*ID규칙_아이템_타입_단위+COUNTIFS($C$4:C24,C24,$D$4:D24,D24)</f>
        <v>101021</v>
      </c>
      <c r="B24" s="129" t="s">
        <v>269</v>
      </c>
      <c r="C24" s="128">
        <v>1</v>
      </c>
      <c r="D24" s="128">
        <v>1</v>
      </c>
      <c r="E24" s="128">
        <v>9999</v>
      </c>
      <c r="F24" s="141" t="str">
        <f t="shared" si="0"/>
        <v>ITEM_NAME_101021</v>
      </c>
      <c r="G24" s="141" t="str">
        <f t="shared" si="1"/>
        <v>ITEM_ICON_101021</v>
      </c>
      <c r="H24" s="141" t="str">
        <f t="shared" si="2"/>
        <v>ITEM_DESC_101021</v>
      </c>
    </row>
    <row r="25" spans="1:14" ht="13.9" customHeight="1">
      <c r="A25" s="128">
        <f>C25*ID규칙_아이템_구분_단위+D25*ID규칙_아이템_타입_단위+COUNTIFS($C$4:C25,C25,$D$4:D25,D25)</f>
        <v>101022</v>
      </c>
      <c r="B25" s="129" t="s">
        <v>270</v>
      </c>
      <c r="C25" s="128">
        <v>1</v>
      </c>
      <c r="D25" s="128">
        <v>1</v>
      </c>
      <c r="E25" s="128">
        <v>9999</v>
      </c>
      <c r="F25" s="141" t="str">
        <f t="shared" si="0"/>
        <v>ITEM_NAME_101022</v>
      </c>
      <c r="G25" s="141" t="str">
        <f t="shared" si="1"/>
        <v>ITEM_ICON_101022</v>
      </c>
      <c r="H25" s="141" t="str">
        <f t="shared" si="2"/>
        <v>ITEM_DESC_101022</v>
      </c>
    </row>
    <row r="26" spans="1:14" ht="13.9" customHeight="1">
      <c r="A26" s="128">
        <f>C26*ID규칙_아이템_구분_단위+D26*ID규칙_아이템_타입_단위+COUNTIFS($C$4:C26,C26,$D$4:D26,D26)</f>
        <v>101023</v>
      </c>
      <c r="B26" s="129" t="s">
        <v>271</v>
      </c>
      <c r="C26" s="128">
        <v>1</v>
      </c>
      <c r="D26" s="128">
        <v>1</v>
      </c>
      <c r="E26" s="128">
        <v>9999</v>
      </c>
      <c r="F26" s="141" t="str">
        <f t="shared" si="0"/>
        <v>ITEM_NAME_101023</v>
      </c>
      <c r="G26" s="141" t="str">
        <f t="shared" si="1"/>
        <v>ITEM_ICON_101023</v>
      </c>
      <c r="H26" s="141" t="str">
        <f t="shared" si="2"/>
        <v>ITEM_DESC_101023</v>
      </c>
    </row>
    <row r="27" spans="1:14" ht="13.9" customHeight="1">
      <c r="A27" s="128">
        <f>C27*ID규칙_아이템_구분_단위+D27*ID규칙_아이템_타입_단위+COUNTIFS($C$4:C27,C27,$D$4:D27,D27)</f>
        <v>101024</v>
      </c>
      <c r="B27" s="129" t="s">
        <v>272</v>
      </c>
      <c r="C27" s="128">
        <v>1</v>
      </c>
      <c r="D27" s="128">
        <v>1</v>
      </c>
      <c r="E27" s="128">
        <v>9999</v>
      </c>
      <c r="F27" s="141" t="str">
        <f t="shared" si="0"/>
        <v>ITEM_NAME_101024</v>
      </c>
      <c r="G27" s="141" t="str">
        <f t="shared" si="1"/>
        <v>ITEM_ICON_101024</v>
      </c>
      <c r="H27" s="141" t="str">
        <f t="shared" si="2"/>
        <v>ITEM_DESC_101024</v>
      </c>
    </row>
    <row r="28" spans="1:14" ht="13.9" customHeight="1">
      <c r="A28" s="128">
        <f>C28*ID규칙_아이템_구분_단위+D28*ID규칙_아이템_타입_단위+COUNTIFS($C$4:C28,C28,$D$4:D28,D28)</f>
        <v>101025</v>
      </c>
      <c r="B28" s="129" t="s">
        <v>273</v>
      </c>
      <c r="C28" s="128">
        <v>1</v>
      </c>
      <c r="D28" s="128">
        <v>1</v>
      </c>
      <c r="E28" s="128">
        <v>9999</v>
      </c>
      <c r="F28" s="141" t="str">
        <f t="shared" si="0"/>
        <v>ITEM_NAME_101025</v>
      </c>
      <c r="G28" s="141" t="str">
        <f t="shared" si="1"/>
        <v>ITEM_ICON_101025</v>
      </c>
      <c r="H28" s="141" t="str">
        <f t="shared" si="2"/>
        <v>ITEM_DESC_101025</v>
      </c>
    </row>
    <row r="29" spans="1:14" ht="13.9" customHeight="1">
      <c r="A29" s="128">
        <f>C29*ID규칙_아이템_구분_단위+D29*ID규칙_아이템_타입_단위+COUNTIFS($C$4:C29,C29,$D$4:D29,D29)</f>
        <v>101026</v>
      </c>
      <c r="B29" s="129" t="s">
        <v>274</v>
      </c>
      <c r="C29" s="128">
        <v>1</v>
      </c>
      <c r="D29" s="128">
        <v>1</v>
      </c>
      <c r="E29" s="128">
        <v>9999</v>
      </c>
      <c r="F29" s="141" t="str">
        <f t="shared" si="0"/>
        <v>ITEM_NAME_101026</v>
      </c>
      <c r="G29" s="141" t="str">
        <f t="shared" si="1"/>
        <v>ITEM_ICON_101026</v>
      </c>
      <c r="H29" s="141" t="str">
        <f t="shared" si="2"/>
        <v>ITEM_DESC_101026</v>
      </c>
    </row>
    <row r="30" spans="1:14" ht="13.9" customHeight="1">
      <c r="A30" s="128">
        <f>C30*ID규칙_아이템_구분_단위+D30*ID규칙_아이템_타입_단위+COUNTIFS($C$4:C30,C30,$D$4:D30,D30)</f>
        <v>101027</v>
      </c>
      <c r="B30" s="129" t="s">
        <v>275</v>
      </c>
      <c r="C30" s="128">
        <v>1</v>
      </c>
      <c r="D30" s="128">
        <v>1</v>
      </c>
      <c r="E30" s="128">
        <v>9999</v>
      </c>
      <c r="F30" s="141" t="str">
        <f t="shared" si="0"/>
        <v>ITEM_NAME_101027</v>
      </c>
      <c r="G30" s="141" t="str">
        <f t="shared" si="1"/>
        <v>ITEM_ICON_101027</v>
      </c>
      <c r="H30" s="141" t="str">
        <f t="shared" si="2"/>
        <v>ITEM_DESC_101027</v>
      </c>
    </row>
    <row r="31" spans="1:14" ht="13.9" customHeight="1">
      <c r="A31" s="128">
        <f>C31*ID규칙_아이템_구분_단위+D31*ID규칙_아이템_타입_단위+COUNTIFS($C$4:C31,C31,$D$4:D31,D31)</f>
        <v>101028</v>
      </c>
      <c r="B31" s="129" t="s">
        <v>276</v>
      </c>
      <c r="C31" s="128">
        <v>1</v>
      </c>
      <c r="D31" s="128">
        <v>1</v>
      </c>
      <c r="E31" s="128">
        <v>9999</v>
      </c>
      <c r="F31" s="141" t="str">
        <f t="shared" si="0"/>
        <v>ITEM_NAME_101028</v>
      </c>
      <c r="G31" s="141" t="str">
        <f t="shared" si="1"/>
        <v>ITEM_ICON_101028</v>
      </c>
      <c r="H31" s="141" t="str">
        <f t="shared" si="2"/>
        <v>ITEM_DESC_101028</v>
      </c>
    </row>
    <row r="32" spans="1:14" ht="13.9" customHeight="1">
      <c r="A32" s="128">
        <f>C32*ID규칙_아이템_구분_단위+D32*ID규칙_아이템_타입_단위+COUNTIFS($C$4:C32,C32,$D$4:D32,D32)</f>
        <v>101029</v>
      </c>
      <c r="B32" s="129" t="s">
        <v>277</v>
      </c>
      <c r="C32" s="128">
        <v>1</v>
      </c>
      <c r="D32" s="128">
        <v>1</v>
      </c>
      <c r="E32" s="128">
        <v>9999</v>
      </c>
      <c r="F32" s="141" t="str">
        <f t="shared" si="0"/>
        <v>ITEM_NAME_101029</v>
      </c>
      <c r="G32" s="141" t="str">
        <f t="shared" si="1"/>
        <v>ITEM_ICON_101029</v>
      </c>
      <c r="H32" s="141" t="str">
        <f t="shared" si="2"/>
        <v>ITEM_DESC_101029</v>
      </c>
    </row>
    <row r="33" spans="1:8" ht="13.9" customHeight="1">
      <c r="A33" s="128">
        <f>C33*ID규칙_아이템_구분_단위+D33*ID규칙_아이템_타입_단위+COUNTIFS($C$4:C33,C33,$D$4:D33,D33)</f>
        <v>101030</v>
      </c>
      <c r="B33" s="129" t="s">
        <v>278</v>
      </c>
      <c r="C33" s="128">
        <v>1</v>
      </c>
      <c r="D33" s="128">
        <v>1</v>
      </c>
      <c r="E33" s="128">
        <v>9999</v>
      </c>
      <c r="F33" s="141" t="str">
        <f t="shared" si="0"/>
        <v>ITEM_NAME_101030</v>
      </c>
      <c r="G33" s="141" t="str">
        <f t="shared" si="1"/>
        <v>ITEM_ICON_101030</v>
      </c>
      <c r="H33" s="141" t="str">
        <f t="shared" si="2"/>
        <v>ITEM_DESC_101030</v>
      </c>
    </row>
    <row r="34" spans="1:8" ht="13.9" customHeight="1">
      <c r="A34" s="128">
        <f>C34*ID규칙_아이템_구분_단위+D34*ID규칙_아이템_타입_단위+COUNTIFS($C$4:C34,C34,$D$4:D34,D34)</f>
        <v>101031</v>
      </c>
      <c r="B34" s="129" t="s">
        <v>279</v>
      </c>
      <c r="C34" s="128">
        <v>1</v>
      </c>
      <c r="D34" s="128">
        <v>1</v>
      </c>
      <c r="E34" s="128">
        <v>9999</v>
      </c>
      <c r="F34" s="141" t="str">
        <f t="shared" si="0"/>
        <v>ITEM_NAME_101031</v>
      </c>
      <c r="G34" s="141" t="str">
        <f t="shared" si="1"/>
        <v>ITEM_ICON_101031</v>
      </c>
      <c r="H34" s="141" t="str">
        <f t="shared" si="2"/>
        <v>ITEM_DESC_101031</v>
      </c>
    </row>
    <row r="35" spans="1:8" ht="13.9" customHeight="1">
      <c r="A35" s="128">
        <f>C35*ID규칙_아이템_구분_단위+D35*ID규칙_아이템_타입_단위+COUNTIFS($C$4:C35,C35,$D$4:D35,D35)</f>
        <v>101032</v>
      </c>
      <c r="B35" s="129" t="s">
        <v>280</v>
      </c>
      <c r="C35" s="128">
        <v>1</v>
      </c>
      <c r="D35" s="128">
        <v>1</v>
      </c>
      <c r="E35" s="128">
        <v>9999</v>
      </c>
      <c r="F35" s="141" t="str">
        <f t="shared" si="0"/>
        <v>ITEM_NAME_101032</v>
      </c>
      <c r="G35" s="141" t="str">
        <f t="shared" si="1"/>
        <v>ITEM_ICON_101032</v>
      </c>
      <c r="H35" s="141" t="str">
        <f t="shared" si="2"/>
        <v>ITEM_DESC_101032</v>
      </c>
    </row>
    <row r="36" spans="1:8" ht="13.9" customHeight="1">
      <c r="A36" s="128">
        <f>C36*ID규칙_아이템_구분_단위+D36*ID규칙_아이템_타입_단위+COUNTIFS($C$4:C36,C36,$D$4:D36,D36)</f>
        <v>101033</v>
      </c>
      <c r="B36" s="129" t="s">
        <v>281</v>
      </c>
      <c r="C36" s="128">
        <v>1</v>
      </c>
      <c r="D36" s="128">
        <v>1</v>
      </c>
      <c r="E36" s="128">
        <v>9999</v>
      </c>
      <c r="F36" s="141" t="str">
        <f t="shared" si="0"/>
        <v>ITEM_NAME_101033</v>
      </c>
      <c r="G36" s="141" t="str">
        <f t="shared" si="1"/>
        <v>ITEM_ICON_101033</v>
      </c>
      <c r="H36" s="141" t="str">
        <f t="shared" si="2"/>
        <v>ITEM_DESC_101033</v>
      </c>
    </row>
    <row r="37" spans="1:8" ht="13.9" customHeight="1">
      <c r="A37" s="128">
        <f>C37*ID규칙_아이템_구분_단위+D37*ID규칙_아이템_타입_단위+COUNTIFS($C$4:C37,C37,$D$4:D37,D37)</f>
        <v>101034</v>
      </c>
      <c r="B37" s="129" t="s">
        <v>282</v>
      </c>
      <c r="C37" s="128">
        <v>1</v>
      </c>
      <c r="D37" s="128">
        <v>1</v>
      </c>
      <c r="E37" s="128">
        <v>9999</v>
      </c>
      <c r="F37" s="141" t="str">
        <f t="shared" si="0"/>
        <v>ITEM_NAME_101034</v>
      </c>
      <c r="G37" s="141" t="str">
        <f t="shared" si="1"/>
        <v>ITEM_ICON_101034</v>
      </c>
      <c r="H37" s="141" t="str">
        <f t="shared" si="2"/>
        <v>ITEM_DESC_101034</v>
      </c>
    </row>
    <row r="38" spans="1:8" ht="13.9" customHeight="1">
      <c r="A38" s="128">
        <f>C38*ID규칙_아이템_구분_단위+D38*ID규칙_아이템_타입_단위+COUNTIFS($C$4:C38,C38,$D$4:D38,D38)</f>
        <v>101035</v>
      </c>
      <c r="B38" s="129" t="s">
        <v>283</v>
      </c>
      <c r="C38" s="128">
        <v>1</v>
      </c>
      <c r="D38" s="128">
        <v>1</v>
      </c>
      <c r="E38" s="128">
        <v>9999</v>
      </c>
      <c r="F38" s="141" t="str">
        <f t="shared" si="0"/>
        <v>ITEM_NAME_101035</v>
      </c>
      <c r="G38" s="141" t="str">
        <f t="shared" si="1"/>
        <v>ITEM_ICON_101035</v>
      </c>
      <c r="H38" s="141" t="str">
        <f t="shared" si="2"/>
        <v>ITEM_DESC_101035</v>
      </c>
    </row>
    <row r="39" spans="1:8" ht="13.9" customHeight="1">
      <c r="A39" s="128">
        <f>C39*ID규칙_아이템_구분_단위+D39*ID규칙_아이템_타입_단위+COUNTIFS($C$4:C39,C39,$D$4:D39,D39)</f>
        <v>101036</v>
      </c>
      <c r="B39" s="129" t="s">
        <v>284</v>
      </c>
      <c r="C39" s="128">
        <v>1</v>
      </c>
      <c r="D39" s="128">
        <v>1</v>
      </c>
      <c r="E39" s="128">
        <v>9999</v>
      </c>
      <c r="F39" s="141" t="str">
        <f t="shared" si="0"/>
        <v>ITEM_NAME_101036</v>
      </c>
      <c r="G39" s="141" t="str">
        <f t="shared" si="1"/>
        <v>ITEM_ICON_101036</v>
      </c>
      <c r="H39" s="141" t="str">
        <f t="shared" si="2"/>
        <v>ITEM_DESC_101036</v>
      </c>
    </row>
    <row r="40" spans="1:8" ht="13.9" customHeight="1">
      <c r="A40" s="128">
        <f>C40*ID규칙_아이템_구분_단위+D40*ID규칙_아이템_타입_단위+COUNTIFS($C$4:C40,C40,$D$4:D40,D40)</f>
        <v>101037</v>
      </c>
      <c r="B40" s="129" t="s">
        <v>285</v>
      </c>
      <c r="C40" s="128">
        <v>1</v>
      </c>
      <c r="D40" s="128">
        <v>1</v>
      </c>
      <c r="E40" s="128">
        <v>9999</v>
      </c>
      <c r="F40" s="141" t="str">
        <f t="shared" si="0"/>
        <v>ITEM_NAME_101037</v>
      </c>
      <c r="G40" s="141" t="str">
        <f t="shared" si="1"/>
        <v>ITEM_ICON_101037</v>
      </c>
      <c r="H40" s="141" t="str">
        <f t="shared" si="2"/>
        <v>ITEM_DESC_101037</v>
      </c>
    </row>
    <row r="41" spans="1:8" ht="13.9" customHeight="1">
      <c r="A41" s="128">
        <f>C41*ID규칙_아이템_구분_단위+D41*ID규칙_아이템_타입_단위+COUNTIFS($C$4:C41,C41,$D$4:D41,D41)</f>
        <v>101038</v>
      </c>
      <c r="B41" s="129" t="s">
        <v>286</v>
      </c>
      <c r="C41" s="128">
        <v>1</v>
      </c>
      <c r="D41" s="128">
        <v>1</v>
      </c>
      <c r="E41" s="128">
        <v>9999</v>
      </c>
      <c r="F41" s="141" t="str">
        <f t="shared" si="0"/>
        <v>ITEM_NAME_101038</v>
      </c>
      <c r="G41" s="141" t="str">
        <f t="shared" si="1"/>
        <v>ITEM_ICON_101038</v>
      </c>
      <c r="H41" s="141" t="str">
        <f t="shared" si="2"/>
        <v>ITEM_DESC_101038</v>
      </c>
    </row>
    <row r="42" spans="1:8" ht="13.9" customHeight="1">
      <c r="A42" s="128">
        <f>C42*ID규칙_아이템_구분_단위+D42*ID규칙_아이템_타입_단위+COUNTIFS($C$4:C42,C42,$D$4:D42,D42)</f>
        <v>101039</v>
      </c>
      <c r="B42" s="129" t="s">
        <v>287</v>
      </c>
      <c r="C42" s="128">
        <v>1</v>
      </c>
      <c r="D42" s="128">
        <v>1</v>
      </c>
      <c r="E42" s="128">
        <v>9999</v>
      </c>
      <c r="F42" s="141" t="str">
        <f t="shared" si="0"/>
        <v>ITEM_NAME_101039</v>
      </c>
      <c r="G42" s="141" t="str">
        <f t="shared" si="1"/>
        <v>ITEM_ICON_101039</v>
      </c>
      <c r="H42" s="141" t="str">
        <f t="shared" si="2"/>
        <v>ITEM_DESC_101039</v>
      </c>
    </row>
    <row r="43" spans="1:8" ht="13.9" customHeight="1">
      <c r="A43" s="128">
        <f>C43*ID규칙_아이템_구분_단위+D43*ID규칙_아이템_타입_단위+COUNTIFS($C$4:C43,C43,$D$4:D43,D43)</f>
        <v>101040</v>
      </c>
      <c r="B43" s="129" t="s">
        <v>288</v>
      </c>
      <c r="C43" s="128">
        <v>1</v>
      </c>
      <c r="D43" s="128">
        <v>1</v>
      </c>
      <c r="E43" s="128">
        <v>9999</v>
      </c>
      <c r="F43" s="141" t="str">
        <f t="shared" si="0"/>
        <v>ITEM_NAME_101040</v>
      </c>
      <c r="G43" s="141" t="str">
        <f t="shared" si="1"/>
        <v>ITEM_ICON_101040</v>
      </c>
      <c r="H43" s="141" t="str">
        <f t="shared" si="2"/>
        <v>ITEM_DESC_101040</v>
      </c>
    </row>
    <row r="44" spans="1:8" ht="13.9" customHeight="1">
      <c r="A44" s="128">
        <f>C44*ID규칙_아이템_구분_단위+D44*ID규칙_아이템_타입_단위+COUNTIFS($C$4:C44,C44,$D$4:D44,D44)</f>
        <v>101041</v>
      </c>
      <c r="B44" s="129" t="s">
        <v>289</v>
      </c>
      <c r="C44" s="128">
        <v>1</v>
      </c>
      <c r="D44" s="128">
        <v>1</v>
      </c>
      <c r="E44" s="128">
        <v>9999</v>
      </c>
      <c r="F44" s="141" t="str">
        <f t="shared" si="0"/>
        <v>ITEM_NAME_101041</v>
      </c>
      <c r="G44" s="141" t="str">
        <f t="shared" si="1"/>
        <v>ITEM_ICON_101041</v>
      </c>
      <c r="H44" s="141" t="str">
        <f t="shared" si="2"/>
        <v>ITEM_DESC_101041</v>
      </c>
    </row>
    <row r="45" spans="1:8" ht="13.9" customHeight="1">
      <c r="A45" s="128">
        <f>C45*ID규칙_아이템_구분_단위+D45*ID규칙_아이템_타입_단위+COUNTIFS($C$4:C45,C45,$D$4:D45,D45)</f>
        <v>101042</v>
      </c>
      <c r="B45" s="129" t="s">
        <v>290</v>
      </c>
      <c r="C45" s="128">
        <v>1</v>
      </c>
      <c r="D45" s="128">
        <v>1</v>
      </c>
      <c r="E45" s="128">
        <v>9999</v>
      </c>
      <c r="F45" s="141" t="str">
        <f t="shared" si="0"/>
        <v>ITEM_NAME_101042</v>
      </c>
      <c r="G45" s="141" t="str">
        <f t="shared" si="1"/>
        <v>ITEM_ICON_101042</v>
      </c>
      <c r="H45" s="141" t="str">
        <f t="shared" si="2"/>
        <v>ITEM_DESC_101042</v>
      </c>
    </row>
    <row r="46" spans="1:8" ht="13.9" customHeight="1">
      <c r="A46" s="128">
        <f>C46*ID규칙_아이템_구분_단위+D46*ID규칙_아이템_타입_단위+COUNTIFS($C$4:C46,C46,$D$4:D46,D46)</f>
        <v>101043</v>
      </c>
      <c r="B46" s="129" t="s">
        <v>291</v>
      </c>
      <c r="C46" s="128">
        <v>1</v>
      </c>
      <c r="D46" s="128">
        <v>1</v>
      </c>
      <c r="E46" s="128">
        <v>9999</v>
      </c>
      <c r="F46" s="141" t="str">
        <f t="shared" si="0"/>
        <v>ITEM_NAME_101043</v>
      </c>
      <c r="G46" s="141" t="str">
        <f t="shared" si="1"/>
        <v>ITEM_ICON_101043</v>
      </c>
      <c r="H46" s="141" t="str">
        <f t="shared" si="2"/>
        <v>ITEM_DESC_101043</v>
      </c>
    </row>
    <row r="47" spans="1:8" ht="13.9" customHeight="1">
      <c r="A47" s="128">
        <f>C47*ID규칙_아이템_구분_단위+D47*ID규칙_아이템_타입_단위+COUNTIFS($C$4:C47,C47,$D$4:D47,D47)</f>
        <v>101044</v>
      </c>
      <c r="B47" s="129" t="s">
        <v>292</v>
      </c>
      <c r="C47" s="128">
        <v>1</v>
      </c>
      <c r="D47" s="128">
        <v>1</v>
      </c>
      <c r="E47" s="128">
        <v>9999</v>
      </c>
      <c r="F47" s="141" t="str">
        <f t="shared" si="0"/>
        <v>ITEM_NAME_101044</v>
      </c>
      <c r="G47" s="141" t="str">
        <f t="shared" si="1"/>
        <v>ITEM_ICON_101044</v>
      </c>
      <c r="H47" s="141" t="str">
        <f t="shared" si="2"/>
        <v>ITEM_DESC_101044</v>
      </c>
    </row>
    <row r="48" spans="1:8" ht="13.9" customHeight="1">
      <c r="A48" s="128">
        <f>C48*ID규칙_아이템_구분_단위+D48*ID규칙_아이템_타입_단위+COUNTIFS($C$4:C48,C48,$D$4:D48,D48)</f>
        <v>101045</v>
      </c>
      <c r="B48" s="129" t="s">
        <v>293</v>
      </c>
      <c r="C48" s="128">
        <v>1</v>
      </c>
      <c r="D48" s="128">
        <v>1</v>
      </c>
      <c r="E48" s="128">
        <v>9999</v>
      </c>
      <c r="F48" s="141" t="str">
        <f t="shared" si="0"/>
        <v>ITEM_NAME_101045</v>
      </c>
      <c r="G48" s="141" t="str">
        <f t="shared" si="1"/>
        <v>ITEM_ICON_101045</v>
      </c>
      <c r="H48" s="141" t="str">
        <f t="shared" si="2"/>
        <v>ITEM_DESC_101045</v>
      </c>
    </row>
    <row r="49" spans="1:8" ht="13.9" customHeight="1">
      <c r="A49" s="128">
        <f>C49*ID규칙_아이템_구분_단위+D49*ID규칙_아이템_타입_단위+COUNTIFS($C$4:C49,C49,$D$4:D49,D49)</f>
        <v>101046</v>
      </c>
      <c r="B49" s="129" t="s">
        <v>294</v>
      </c>
      <c r="C49" s="128">
        <v>1</v>
      </c>
      <c r="D49" s="128">
        <v>1</v>
      </c>
      <c r="E49" s="128">
        <v>9999</v>
      </c>
      <c r="F49" s="141" t="str">
        <f t="shared" si="0"/>
        <v>ITEM_NAME_101046</v>
      </c>
      <c r="G49" s="141" t="str">
        <f t="shared" si="1"/>
        <v>ITEM_ICON_101046</v>
      </c>
      <c r="H49" s="141" t="str">
        <f t="shared" si="2"/>
        <v>ITEM_DESC_101046</v>
      </c>
    </row>
    <row r="50" spans="1:8" ht="13.9" customHeight="1">
      <c r="A50" s="128">
        <f>C50*ID규칙_아이템_구분_단위+D50*ID규칙_아이템_타입_단위+COUNTIFS($C$4:C50,C50,$D$4:D50,D50)</f>
        <v>101047</v>
      </c>
      <c r="B50" s="129" t="s">
        <v>295</v>
      </c>
      <c r="C50" s="128">
        <v>1</v>
      </c>
      <c r="D50" s="128">
        <v>1</v>
      </c>
      <c r="E50" s="128">
        <v>9999</v>
      </c>
      <c r="F50" s="141" t="str">
        <f t="shared" si="0"/>
        <v>ITEM_NAME_101047</v>
      </c>
      <c r="G50" s="141" t="str">
        <f t="shared" si="1"/>
        <v>ITEM_ICON_101047</v>
      </c>
      <c r="H50" s="141" t="str">
        <f t="shared" si="2"/>
        <v>ITEM_DESC_101047</v>
      </c>
    </row>
    <row r="51" spans="1:8" ht="13.9" customHeight="1">
      <c r="A51" s="128">
        <f>C51*ID규칙_아이템_구분_단위+D51*ID규칙_아이템_타입_단위+COUNTIFS($C$4:C51,C51,$D$4:D51,D51)</f>
        <v>101048</v>
      </c>
      <c r="B51" s="129" t="s">
        <v>296</v>
      </c>
      <c r="C51" s="128">
        <v>1</v>
      </c>
      <c r="D51" s="128">
        <v>1</v>
      </c>
      <c r="E51" s="128">
        <v>9999</v>
      </c>
      <c r="F51" s="141" t="str">
        <f t="shared" si="0"/>
        <v>ITEM_NAME_101048</v>
      </c>
      <c r="G51" s="141" t="str">
        <f t="shared" si="1"/>
        <v>ITEM_ICON_101048</v>
      </c>
      <c r="H51" s="141" t="str">
        <f t="shared" si="2"/>
        <v>ITEM_DESC_101048</v>
      </c>
    </row>
    <row r="52" spans="1:8" ht="13.9" customHeight="1">
      <c r="A52" s="128">
        <f>C52*ID규칙_아이템_구분_단위+D52*ID규칙_아이템_타입_단위+COUNTIFS($C$4:C52,C52,$D$4:D52,D52)</f>
        <v>101049</v>
      </c>
      <c r="B52" s="129" t="s">
        <v>297</v>
      </c>
      <c r="C52" s="128">
        <v>1</v>
      </c>
      <c r="D52" s="128">
        <v>1</v>
      </c>
      <c r="E52" s="128">
        <v>9999</v>
      </c>
      <c r="F52" s="141" t="str">
        <f t="shared" si="0"/>
        <v>ITEM_NAME_101049</v>
      </c>
      <c r="G52" s="141" t="str">
        <f t="shared" si="1"/>
        <v>ITEM_ICON_101049</v>
      </c>
      <c r="H52" s="141" t="str">
        <f t="shared" si="2"/>
        <v>ITEM_DESC_101049</v>
      </c>
    </row>
    <row r="53" spans="1:8" ht="13.9" customHeight="1">
      <c r="A53" s="128">
        <f>C53*ID규칙_아이템_구분_단위+D53*ID규칙_아이템_타입_단위+COUNTIFS($C$4:C53,C53,$D$4:D53,D53)</f>
        <v>101050</v>
      </c>
      <c r="B53" s="129" t="s">
        <v>298</v>
      </c>
      <c r="C53" s="128">
        <v>1</v>
      </c>
      <c r="D53" s="128">
        <v>1</v>
      </c>
      <c r="E53" s="128">
        <v>9999</v>
      </c>
      <c r="F53" s="141" t="str">
        <f t="shared" si="0"/>
        <v>ITEM_NAME_101050</v>
      </c>
      <c r="G53" s="141" t="str">
        <f t="shared" si="1"/>
        <v>ITEM_ICON_101050</v>
      </c>
      <c r="H53" s="141" t="str">
        <f t="shared" si="2"/>
        <v>ITEM_DESC_101050</v>
      </c>
    </row>
    <row r="54" spans="1:8" ht="13.9" customHeight="1">
      <c r="A54" s="128">
        <f>C54*ID규칙_아이템_구분_단위+D54*ID규칙_아이템_타입_단위+COUNTIFS($C$4:C54,C54,$D$4:D54,D54)</f>
        <v>101051</v>
      </c>
      <c r="B54" s="129" t="s">
        <v>299</v>
      </c>
      <c r="C54" s="128">
        <v>1</v>
      </c>
      <c r="D54" s="128">
        <v>1</v>
      </c>
      <c r="E54" s="128">
        <v>9999</v>
      </c>
      <c r="F54" s="141" t="str">
        <f t="shared" si="0"/>
        <v>ITEM_NAME_101051</v>
      </c>
      <c r="G54" s="141" t="str">
        <f t="shared" si="1"/>
        <v>ITEM_ICON_101051</v>
      </c>
      <c r="H54" s="141" t="str">
        <f t="shared" si="2"/>
        <v>ITEM_DESC_101051</v>
      </c>
    </row>
    <row r="55" spans="1:8" ht="13.9" customHeight="1">
      <c r="A55" s="128">
        <f>C55*ID규칙_아이템_구분_단위+D55*ID규칙_아이템_타입_단위+COUNTIFS($C$4:C55,C55,$D$4:D55,D55)</f>
        <v>101052</v>
      </c>
      <c r="B55" s="129" t="s">
        <v>300</v>
      </c>
      <c r="C55" s="128">
        <v>1</v>
      </c>
      <c r="D55" s="128">
        <v>1</v>
      </c>
      <c r="E55" s="128">
        <v>9999</v>
      </c>
      <c r="F55" s="141" t="str">
        <f t="shared" si="0"/>
        <v>ITEM_NAME_101052</v>
      </c>
      <c r="G55" s="141" t="str">
        <f t="shared" si="1"/>
        <v>ITEM_ICON_101052</v>
      </c>
      <c r="H55" s="141" t="str">
        <f t="shared" si="2"/>
        <v>ITEM_DESC_101052</v>
      </c>
    </row>
    <row r="56" spans="1:8" ht="13.9" customHeight="1">
      <c r="A56" s="128">
        <f>C56*ID규칙_아이템_구분_단위+D56*ID규칙_아이템_타입_단위+COUNTIFS($C$4:C56,C56,$D$4:D56,D56)</f>
        <v>101053</v>
      </c>
      <c r="B56" s="129" t="s">
        <v>301</v>
      </c>
      <c r="C56" s="128">
        <v>1</v>
      </c>
      <c r="D56" s="128">
        <v>1</v>
      </c>
      <c r="E56" s="128">
        <v>9999</v>
      </c>
      <c r="F56" s="141" t="str">
        <f t="shared" si="0"/>
        <v>ITEM_NAME_101053</v>
      </c>
      <c r="G56" s="141" t="str">
        <f t="shared" si="1"/>
        <v>ITEM_ICON_101053</v>
      </c>
      <c r="H56" s="141" t="str">
        <f t="shared" si="2"/>
        <v>ITEM_DESC_101053</v>
      </c>
    </row>
    <row r="57" spans="1:8" ht="13.9" customHeight="1">
      <c r="A57" s="128">
        <f>C57*ID규칙_아이템_구분_단위+D57*ID규칙_아이템_타입_단위+COUNTIFS($C$4:C57,C57,$D$4:D57,D57)</f>
        <v>101054</v>
      </c>
      <c r="B57" s="129" t="s">
        <v>302</v>
      </c>
      <c r="C57" s="128">
        <v>1</v>
      </c>
      <c r="D57" s="128">
        <v>1</v>
      </c>
      <c r="E57" s="128">
        <v>9999</v>
      </c>
      <c r="F57" s="141" t="str">
        <f t="shared" si="0"/>
        <v>ITEM_NAME_101054</v>
      </c>
      <c r="G57" s="141" t="str">
        <f t="shared" si="1"/>
        <v>ITEM_ICON_101054</v>
      </c>
      <c r="H57" s="141" t="str">
        <f t="shared" si="2"/>
        <v>ITEM_DESC_101054</v>
      </c>
    </row>
    <row r="58" spans="1:8" ht="13.9" customHeight="1">
      <c r="A58" s="128">
        <f>C58*ID규칙_아이템_구분_단위+D58*ID규칙_아이템_타입_단위+COUNTIFS($C$4:C58,C58,$D$4:D58,D58)</f>
        <v>101055</v>
      </c>
      <c r="B58" s="129" t="s">
        <v>303</v>
      </c>
      <c r="C58" s="128">
        <v>1</v>
      </c>
      <c r="D58" s="128">
        <v>1</v>
      </c>
      <c r="E58" s="128">
        <v>9999</v>
      </c>
      <c r="F58" s="141" t="str">
        <f t="shared" si="0"/>
        <v>ITEM_NAME_101055</v>
      </c>
      <c r="G58" s="141" t="str">
        <f t="shared" si="1"/>
        <v>ITEM_ICON_101055</v>
      </c>
      <c r="H58" s="141" t="str">
        <f t="shared" si="2"/>
        <v>ITEM_DESC_101055</v>
      </c>
    </row>
    <row r="59" spans="1:8" ht="13.9" customHeight="1">
      <c r="A59" s="128">
        <f>C59*ID규칙_아이템_구분_단위+D59*ID규칙_아이템_타입_단위+COUNTIFS($C$4:C59,C59,$D$4:D59,D59)</f>
        <v>101056</v>
      </c>
      <c r="B59" s="129" t="s">
        <v>304</v>
      </c>
      <c r="C59" s="128">
        <v>1</v>
      </c>
      <c r="D59" s="128">
        <v>1</v>
      </c>
      <c r="E59" s="128">
        <v>9999</v>
      </c>
      <c r="F59" s="141" t="str">
        <f t="shared" si="0"/>
        <v>ITEM_NAME_101056</v>
      </c>
      <c r="G59" s="141" t="str">
        <f t="shared" si="1"/>
        <v>ITEM_ICON_101056</v>
      </c>
      <c r="H59" s="141" t="str">
        <f t="shared" si="2"/>
        <v>ITEM_DESC_101056</v>
      </c>
    </row>
    <row r="60" spans="1:8" ht="13.9" customHeight="1">
      <c r="A60" s="128">
        <f>C60*ID규칙_아이템_구분_단위+D60*ID규칙_아이템_타입_단위+COUNTIFS($C$4:C60,C60,$D$4:D60,D60)</f>
        <v>101057</v>
      </c>
      <c r="B60" s="129" t="s">
        <v>305</v>
      </c>
      <c r="C60" s="128">
        <v>1</v>
      </c>
      <c r="D60" s="128">
        <v>1</v>
      </c>
      <c r="E60" s="128">
        <v>9999</v>
      </c>
      <c r="F60" s="141" t="str">
        <f t="shared" si="0"/>
        <v>ITEM_NAME_101057</v>
      </c>
      <c r="G60" s="141" t="str">
        <f t="shared" si="1"/>
        <v>ITEM_ICON_101057</v>
      </c>
      <c r="H60" s="141" t="str">
        <f t="shared" si="2"/>
        <v>ITEM_DESC_101057</v>
      </c>
    </row>
    <row r="61" spans="1:8" ht="13.9" customHeight="1">
      <c r="A61" s="128">
        <f>C61*ID규칙_아이템_구분_단위+D61*ID규칙_아이템_타입_단위+COUNTIFS($C$4:C61,C61,$D$4:D61,D61)</f>
        <v>101058</v>
      </c>
      <c r="B61" s="129" t="s">
        <v>306</v>
      </c>
      <c r="C61" s="128">
        <v>1</v>
      </c>
      <c r="D61" s="128">
        <v>1</v>
      </c>
      <c r="E61" s="128">
        <v>9999</v>
      </c>
      <c r="F61" s="141" t="str">
        <f t="shared" si="0"/>
        <v>ITEM_NAME_101058</v>
      </c>
      <c r="G61" s="141" t="str">
        <f t="shared" si="1"/>
        <v>ITEM_ICON_101058</v>
      </c>
      <c r="H61" s="141" t="str">
        <f t="shared" si="2"/>
        <v>ITEM_DESC_101058</v>
      </c>
    </row>
    <row r="62" spans="1:8" ht="13.9" customHeight="1">
      <c r="A62" s="128">
        <f>C62*ID규칙_아이템_구분_단위+D62*ID규칙_아이템_타입_단위+COUNTIFS($C$4:C62,C62,$D$4:D62,D62)</f>
        <v>101059</v>
      </c>
      <c r="B62" s="129" t="s">
        <v>307</v>
      </c>
      <c r="C62" s="128">
        <v>1</v>
      </c>
      <c r="D62" s="128">
        <v>1</v>
      </c>
      <c r="E62" s="128">
        <v>9999</v>
      </c>
      <c r="F62" s="141" t="str">
        <f t="shared" si="0"/>
        <v>ITEM_NAME_101059</v>
      </c>
      <c r="G62" s="141" t="str">
        <f t="shared" si="1"/>
        <v>ITEM_ICON_101059</v>
      </c>
      <c r="H62" s="141" t="str">
        <f t="shared" si="2"/>
        <v>ITEM_DESC_101059</v>
      </c>
    </row>
    <row r="63" spans="1:8" ht="13.9" customHeight="1">
      <c r="A63" s="128">
        <f>C63*ID규칙_아이템_구분_단위+D63*ID규칙_아이템_타입_단위+COUNTIFS($C$4:C63,C63,$D$4:D63,D63)</f>
        <v>101060</v>
      </c>
      <c r="B63" s="129" t="s">
        <v>308</v>
      </c>
      <c r="C63" s="128">
        <v>1</v>
      </c>
      <c r="D63" s="128">
        <v>1</v>
      </c>
      <c r="E63" s="128">
        <v>9999</v>
      </c>
      <c r="F63" s="141" t="str">
        <f t="shared" si="0"/>
        <v>ITEM_NAME_101060</v>
      </c>
      <c r="G63" s="141" t="str">
        <f t="shared" si="1"/>
        <v>ITEM_ICON_101060</v>
      </c>
      <c r="H63" s="141" t="str">
        <f t="shared" si="2"/>
        <v>ITEM_DESC_101060</v>
      </c>
    </row>
    <row r="64" spans="1:8" ht="13.9" customHeight="1">
      <c r="A64" s="128">
        <f>C64*ID규칙_아이템_구분_단위+D64*ID규칙_아이템_타입_단위+COUNTIFS($C$4:C64,C64,$D$4:D64,D64)</f>
        <v>101061</v>
      </c>
      <c r="B64" s="129" t="s">
        <v>309</v>
      </c>
      <c r="C64" s="128">
        <v>1</v>
      </c>
      <c r="D64" s="128">
        <v>1</v>
      </c>
      <c r="E64" s="128">
        <v>9999</v>
      </c>
      <c r="F64" s="141" t="str">
        <f t="shared" si="0"/>
        <v>ITEM_NAME_101061</v>
      </c>
      <c r="G64" s="141" t="str">
        <f t="shared" si="1"/>
        <v>ITEM_ICON_101061</v>
      </c>
      <c r="H64" s="141" t="str">
        <f t="shared" si="2"/>
        <v>ITEM_DESC_101061</v>
      </c>
    </row>
    <row r="65" spans="1:8" ht="13.9" customHeight="1">
      <c r="A65" s="128">
        <f>C65*ID규칙_아이템_구분_단위+D65*ID규칙_아이템_타입_단위+COUNTIFS($C$4:C65,C65,$D$4:D65,D65)</f>
        <v>101062</v>
      </c>
      <c r="B65" s="129" t="s">
        <v>310</v>
      </c>
      <c r="C65" s="128">
        <v>1</v>
      </c>
      <c r="D65" s="128">
        <v>1</v>
      </c>
      <c r="E65" s="128">
        <v>9999</v>
      </c>
      <c r="F65" s="141" t="str">
        <f t="shared" si="0"/>
        <v>ITEM_NAME_101062</v>
      </c>
      <c r="G65" s="141" t="str">
        <f t="shared" si="1"/>
        <v>ITEM_ICON_101062</v>
      </c>
      <c r="H65" s="141" t="str">
        <f t="shared" si="2"/>
        <v>ITEM_DESC_101062</v>
      </c>
    </row>
    <row r="66" spans="1:8" ht="13.9" customHeight="1">
      <c r="A66" s="128">
        <f>C66*ID규칙_아이템_구분_단위+D66*ID규칙_아이템_타입_단위+COUNTIFS($C$4:C66,C66,$D$4:D66,D66)</f>
        <v>101063</v>
      </c>
      <c r="B66" s="129" t="s">
        <v>311</v>
      </c>
      <c r="C66" s="128">
        <v>1</v>
      </c>
      <c r="D66" s="128">
        <v>1</v>
      </c>
      <c r="E66" s="128">
        <v>9999</v>
      </c>
      <c r="F66" s="141" t="str">
        <f t="shared" si="0"/>
        <v>ITEM_NAME_101063</v>
      </c>
      <c r="G66" s="141" t="str">
        <f t="shared" si="1"/>
        <v>ITEM_ICON_101063</v>
      </c>
      <c r="H66" s="141" t="str">
        <f t="shared" si="2"/>
        <v>ITEM_DESC_101063</v>
      </c>
    </row>
    <row r="67" spans="1:8" ht="13.9" customHeight="1">
      <c r="A67" s="128">
        <f>C67*ID규칙_아이템_구분_단위+D67*ID규칙_아이템_타입_단위+COUNTIFS($C$4:C67,C67,$D$4:D67,D67)</f>
        <v>101064</v>
      </c>
      <c r="B67" s="129" t="s">
        <v>312</v>
      </c>
      <c r="C67" s="128">
        <v>1</v>
      </c>
      <c r="D67" s="128">
        <v>1</v>
      </c>
      <c r="E67" s="128">
        <v>9999</v>
      </c>
      <c r="F67" s="141" t="str">
        <f t="shared" si="0"/>
        <v>ITEM_NAME_101064</v>
      </c>
      <c r="G67" s="141" t="str">
        <f t="shared" si="1"/>
        <v>ITEM_ICON_101064</v>
      </c>
      <c r="H67" s="141" t="str">
        <f t="shared" si="2"/>
        <v>ITEM_DESC_101064</v>
      </c>
    </row>
    <row r="68" spans="1:8" ht="13.9" customHeight="1">
      <c r="A68" s="128">
        <f>C68*ID규칙_아이템_구분_단위+D68*ID규칙_아이템_타입_단위+COUNTIFS($C$4:C68,C68,$D$4:D68,D68)</f>
        <v>101065</v>
      </c>
      <c r="B68" s="129" t="s">
        <v>313</v>
      </c>
      <c r="C68" s="128">
        <v>1</v>
      </c>
      <c r="D68" s="128">
        <v>1</v>
      </c>
      <c r="E68" s="128">
        <v>9999</v>
      </c>
      <c r="F68" s="141" t="str">
        <f t="shared" si="0"/>
        <v>ITEM_NAME_101065</v>
      </c>
      <c r="G68" s="141" t="str">
        <f t="shared" si="1"/>
        <v>ITEM_ICON_101065</v>
      </c>
      <c r="H68" s="141" t="str">
        <f t="shared" si="2"/>
        <v>ITEM_DESC_101065</v>
      </c>
    </row>
    <row r="69" spans="1:8" ht="13.9" customHeight="1">
      <c r="A69" s="128">
        <f>C69*ID규칙_아이템_구분_단위+D69*ID규칙_아이템_타입_단위+COUNTIFS($C$4:C69,C69,$D$4:D69,D69)</f>
        <v>101066</v>
      </c>
      <c r="B69" s="129" t="s">
        <v>314</v>
      </c>
      <c r="C69" s="128">
        <v>1</v>
      </c>
      <c r="D69" s="128">
        <v>1</v>
      </c>
      <c r="E69" s="128">
        <v>9999</v>
      </c>
      <c r="F69" s="141" t="str">
        <f t="shared" ref="F69:F132" si="3">"ITEM_NAME_"&amp;A69</f>
        <v>ITEM_NAME_101066</v>
      </c>
      <c r="G69" s="141" t="str">
        <f t="shared" ref="G69:G132" si="4">"ITEM_ICON_"&amp;A69</f>
        <v>ITEM_ICON_101066</v>
      </c>
      <c r="H69" s="141" t="str">
        <f t="shared" ref="H69:H132" si="5">"ITEM_DESC_"&amp;A69</f>
        <v>ITEM_DESC_101066</v>
      </c>
    </row>
    <row r="70" spans="1:8" ht="13.9" customHeight="1">
      <c r="A70" s="128">
        <f>C70*ID규칙_아이템_구분_단위+D70*ID규칙_아이템_타입_단위+COUNTIFS($C$4:C70,C70,$D$4:D70,D70)</f>
        <v>101067</v>
      </c>
      <c r="B70" s="129" t="s">
        <v>315</v>
      </c>
      <c r="C70" s="128">
        <v>1</v>
      </c>
      <c r="D70" s="128">
        <v>1</v>
      </c>
      <c r="E70" s="128">
        <v>9999</v>
      </c>
      <c r="F70" s="141" t="str">
        <f t="shared" si="3"/>
        <v>ITEM_NAME_101067</v>
      </c>
      <c r="G70" s="141" t="str">
        <f t="shared" si="4"/>
        <v>ITEM_ICON_101067</v>
      </c>
      <c r="H70" s="141" t="str">
        <f t="shared" si="5"/>
        <v>ITEM_DESC_101067</v>
      </c>
    </row>
    <row r="71" spans="1:8" ht="13.9" customHeight="1">
      <c r="A71" s="128">
        <f>C71*ID규칙_아이템_구분_단위+D71*ID규칙_아이템_타입_단위+COUNTIFS($C$4:C71,C71,$D$4:D71,D71)</f>
        <v>101068</v>
      </c>
      <c r="B71" s="129" t="s">
        <v>316</v>
      </c>
      <c r="C71" s="128">
        <v>1</v>
      </c>
      <c r="D71" s="128">
        <v>1</v>
      </c>
      <c r="E71" s="128">
        <v>9999</v>
      </c>
      <c r="F71" s="141" t="str">
        <f t="shared" si="3"/>
        <v>ITEM_NAME_101068</v>
      </c>
      <c r="G71" s="141" t="str">
        <f t="shared" si="4"/>
        <v>ITEM_ICON_101068</v>
      </c>
      <c r="H71" s="141" t="str">
        <f t="shared" si="5"/>
        <v>ITEM_DESC_101068</v>
      </c>
    </row>
    <row r="72" spans="1:8" ht="13.9" customHeight="1">
      <c r="A72" s="128">
        <f>C72*ID규칙_아이템_구분_단위+D72*ID규칙_아이템_타입_단위+COUNTIFS($C$4:C72,C72,$D$4:D72,D72)</f>
        <v>101069</v>
      </c>
      <c r="B72" s="129" t="s">
        <v>317</v>
      </c>
      <c r="C72" s="128">
        <v>1</v>
      </c>
      <c r="D72" s="128">
        <v>1</v>
      </c>
      <c r="E72" s="128">
        <v>9999</v>
      </c>
      <c r="F72" s="141" t="str">
        <f t="shared" si="3"/>
        <v>ITEM_NAME_101069</v>
      </c>
      <c r="G72" s="141" t="str">
        <f t="shared" si="4"/>
        <v>ITEM_ICON_101069</v>
      </c>
      <c r="H72" s="141" t="str">
        <f t="shared" si="5"/>
        <v>ITEM_DESC_101069</v>
      </c>
    </row>
    <row r="73" spans="1:8" ht="13.9" customHeight="1">
      <c r="A73" s="128">
        <f>C73*ID규칙_아이템_구분_단위+D73*ID규칙_아이템_타입_단위+COUNTIFS($C$4:C73,C73,$D$4:D73,D73)</f>
        <v>101070</v>
      </c>
      <c r="B73" s="129" t="s">
        <v>318</v>
      </c>
      <c r="C73" s="128">
        <v>1</v>
      </c>
      <c r="D73" s="128">
        <v>1</v>
      </c>
      <c r="E73" s="128">
        <v>9999</v>
      </c>
      <c r="F73" s="141" t="str">
        <f t="shared" si="3"/>
        <v>ITEM_NAME_101070</v>
      </c>
      <c r="G73" s="141" t="str">
        <f t="shared" si="4"/>
        <v>ITEM_ICON_101070</v>
      </c>
      <c r="H73" s="141" t="str">
        <f t="shared" si="5"/>
        <v>ITEM_DESC_101070</v>
      </c>
    </row>
    <row r="74" spans="1:8" ht="13.9" customHeight="1">
      <c r="A74" s="128">
        <f>C74*ID규칙_아이템_구분_단위+D74*ID규칙_아이템_타입_단위+COUNTIFS($C$4:C74,C74,$D$4:D74,D74)</f>
        <v>101071</v>
      </c>
      <c r="B74" s="129" t="s">
        <v>319</v>
      </c>
      <c r="C74" s="128">
        <v>1</v>
      </c>
      <c r="D74" s="128">
        <v>1</v>
      </c>
      <c r="E74" s="128">
        <v>9999</v>
      </c>
      <c r="F74" s="141" t="str">
        <f t="shared" si="3"/>
        <v>ITEM_NAME_101071</v>
      </c>
      <c r="G74" s="141" t="str">
        <f t="shared" si="4"/>
        <v>ITEM_ICON_101071</v>
      </c>
      <c r="H74" s="141" t="str">
        <f t="shared" si="5"/>
        <v>ITEM_DESC_101071</v>
      </c>
    </row>
    <row r="75" spans="1:8" ht="13.9" customHeight="1">
      <c r="A75" s="128">
        <f>C75*ID규칙_아이템_구분_단위+D75*ID규칙_아이템_타입_단위+COUNTIFS($C$4:C75,C75,$D$4:D75,D75)</f>
        <v>101072</v>
      </c>
      <c r="B75" s="129" t="s">
        <v>320</v>
      </c>
      <c r="C75" s="128">
        <v>1</v>
      </c>
      <c r="D75" s="128">
        <v>1</v>
      </c>
      <c r="E75" s="128">
        <v>9999</v>
      </c>
      <c r="F75" s="141" t="str">
        <f t="shared" si="3"/>
        <v>ITEM_NAME_101072</v>
      </c>
      <c r="G75" s="141" t="str">
        <f t="shared" si="4"/>
        <v>ITEM_ICON_101072</v>
      </c>
      <c r="H75" s="141" t="str">
        <f t="shared" si="5"/>
        <v>ITEM_DESC_101072</v>
      </c>
    </row>
    <row r="76" spans="1:8" ht="13.9" customHeight="1">
      <c r="A76" s="128">
        <f>C76*ID규칙_아이템_구분_단위+D76*ID규칙_아이템_타입_단위+COUNTIFS($C$4:C76,C76,$D$4:D76,D76)</f>
        <v>101073</v>
      </c>
      <c r="B76" s="129" t="s">
        <v>321</v>
      </c>
      <c r="C76" s="128">
        <v>1</v>
      </c>
      <c r="D76" s="128">
        <v>1</v>
      </c>
      <c r="E76" s="128">
        <v>9999</v>
      </c>
      <c r="F76" s="141" t="str">
        <f t="shared" si="3"/>
        <v>ITEM_NAME_101073</v>
      </c>
      <c r="G76" s="141" t="str">
        <f t="shared" si="4"/>
        <v>ITEM_ICON_101073</v>
      </c>
      <c r="H76" s="141" t="str">
        <f t="shared" si="5"/>
        <v>ITEM_DESC_101073</v>
      </c>
    </row>
    <row r="77" spans="1:8" ht="13.9" customHeight="1">
      <c r="A77" s="128">
        <f>C77*ID규칙_아이템_구분_단위+D77*ID규칙_아이템_타입_단위+COUNTIFS($C$4:C77,C77,$D$4:D77,D77)</f>
        <v>101074</v>
      </c>
      <c r="B77" s="129" t="s">
        <v>322</v>
      </c>
      <c r="C77" s="128">
        <v>1</v>
      </c>
      <c r="D77" s="128">
        <v>1</v>
      </c>
      <c r="E77" s="128">
        <v>9999</v>
      </c>
      <c r="F77" s="141" t="str">
        <f t="shared" si="3"/>
        <v>ITEM_NAME_101074</v>
      </c>
      <c r="G77" s="141" t="str">
        <f t="shared" si="4"/>
        <v>ITEM_ICON_101074</v>
      </c>
      <c r="H77" s="141" t="str">
        <f t="shared" si="5"/>
        <v>ITEM_DESC_101074</v>
      </c>
    </row>
    <row r="78" spans="1:8" ht="13.9" customHeight="1">
      <c r="A78" s="128">
        <f>C78*ID규칙_아이템_구분_단위+D78*ID규칙_아이템_타입_단위+COUNTIFS($C$4:C78,C78,$D$4:D78,D78)</f>
        <v>101075</v>
      </c>
      <c r="B78" s="129" t="s">
        <v>323</v>
      </c>
      <c r="C78" s="128">
        <v>1</v>
      </c>
      <c r="D78" s="128">
        <v>1</v>
      </c>
      <c r="E78" s="128">
        <v>9999</v>
      </c>
      <c r="F78" s="141" t="str">
        <f t="shared" si="3"/>
        <v>ITEM_NAME_101075</v>
      </c>
      <c r="G78" s="141" t="str">
        <f t="shared" si="4"/>
        <v>ITEM_ICON_101075</v>
      </c>
      <c r="H78" s="141" t="str">
        <f t="shared" si="5"/>
        <v>ITEM_DESC_101075</v>
      </c>
    </row>
    <row r="79" spans="1:8" ht="13.9" customHeight="1">
      <c r="A79" s="128">
        <f>C79*ID규칙_아이템_구분_단위+D79*ID규칙_아이템_타입_단위+COUNTIFS($C$4:C79,C79,$D$4:D79,D79)</f>
        <v>101076</v>
      </c>
      <c r="B79" s="129" t="s">
        <v>324</v>
      </c>
      <c r="C79" s="128">
        <v>1</v>
      </c>
      <c r="D79" s="128">
        <v>1</v>
      </c>
      <c r="E79" s="128">
        <v>9999</v>
      </c>
      <c r="F79" s="141" t="str">
        <f t="shared" si="3"/>
        <v>ITEM_NAME_101076</v>
      </c>
      <c r="G79" s="141" t="str">
        <f t="shared" si="4"/>
        <v>ITEM_ICON_101076</v>
      </c>
      <c r="H79" s="141" t="str">
        <f t="shared" si="5"/>
        <v>ITEM_DESC_101076</v>
      </c>
    </row>
    <row r="80" spans="1:8" ht="13.9" customHeight="1">
      <c r="A80" s="128">
        <f>C80*ID규칙_아이템_구분_단위+D80*ID규칙_아이템_타입_단위+COUNTIFS($C$4:C80,C80,$D$4:D80,D80)</f>
        <v>101077</v>
      </c>
      <c r="B80" s="129" t="s">
        <v>325</v>
      </c>
      <c r="C80" s="128">
        <v>1</v>
      </c>
      <c r="D80" s="128">
        <v>1</v>
      </c>
      <c r="E80" s="128">
        <v>9999</v>
      </c>
      <c r="F80" s="141" t="str">
        <f t="shared" si="3"/>
        <v>ITEM_NAME_101077</v>
      </c>
      <c r="G80" s="141" t="str">
        <f t="shared" si="4"/>
        <v>ITEM_ICON_101077</v>
      </c>
      <c r="H80" s="141" t="str">
        <f t="shared" si="5"/>
        <v>ITEM_DESC_101077</v>
      </c>
    </row>
    <row r="81" spans="1:8" ht="13.9" customHeight="1">
      <c r="A81" s="128">
        <f>C81*ID규칙_아이템_구분_단위+D81*ID규칙_아이템_타입_단위+COUNTIFS($C$4:C81,C81,$D$4:D81,D81)</f>
        <v>101078</v>
      </c>
      <c r="B81" s="129" t="s">
        <v>326</v>
      </c>
      <c r="C81" s="128">
        <v>1</v>
      </c>
      <c r="D81" s="128">
        <v>1</v>
      </c>
      <c r="E81" s="128">
        <v>9999</v>
      </c>
      <c r="F81" s="141" t="str">
        <f t="shared" si="3"/>
        <v>ITEM_NAME_101078</v>
      </c>
      <c r="G81" s="141" t="str">
        <f t="shared" si="4"/>
        <v>ITEM_ICON_101078</v>
      </c>
      <c r="H81" s="141" t="str">
        <f t="shared" si="5"/>
        <v>ITEM_DESC_101078</v>
      </c>
    </row>
    <row r="82" spans="1:8" ht="13.9" customHeight="1">
      <c r="A82" s="128">
        <f>C82*ID규칙_아이템_구분_단위+D82*ID규칙_아이템_타입_단위+COUNTIFS($C$4:C82,C82,$D$4:D82,D82)</f>
        <v>101079</v>
      </c>
      <c r="B82" s="129" t="s">
        <v>327</v>
      </c>
      <c r="C82" s="128">
        <v>1</v>
      </c>
      <c r="D82" s="128">
        <v>1</v>
      </c>
      <c r="E82" s="128">
        <v>9999</v>
      </c>
      <c r="F82" s="141" t="str">
        <f t="shared" si="3"/>
        <v>ITEM_NAME_101079</v>
      </c>
      <c r="G82" s="141" t="str">
        <f t="shared" si="4"/>
        <v>ITEM_ICON_101079</v>
      </c>
      <c r="H82" s="141" t="str">
        <f t="shared" si="5"/>
        <v>ITEM_DESC_101079</v>
      </c>
    </row>
    <row r="83" spans="1:8" ht="13.9" customHeight="1">
      <c r="A83" s="128">
        <f>C83*ID규칙_아이템_구분_단위+D83*ID규칙_아이템_타입_단위+COUNTIFS($C$4:C83,C83,$D$4:D83,D83)</f>
        <v>101080</v>
      </c>
      <c r="B83" s="129" t="s">
        <v>328</v>
      </c>
      <c r="C83" s="128">
        <v>1</v>
      </c>
      <c r="D83" s="128">
        <v>1</v>
      </c>
      <c r="E83" s="128">
        <v>9999</v>
      </c>
      <c r="F83" s="141" t="str">
        <f t="shared" si="3"/>
        <v>ITEM_NAME_101080</v>
      </c>
      <c r="G83" s="141" t="str">
        <f t="shared" si="4"/>
        <v>ITEM_ICON_101080</v>
      </c>
      <c r="H83" s="141" t="str">
        <f t="shared" si="5"/>
        <v>ITEM_DESC_101080</v>
      </c>
    </row>
    <row r="84" spans="1:8" ht="13.9" customHeight="1">
      <c r="A84" s="128">
        <f>C84*ID규칙_아이템_구분_단위+D84*ID규칙_아이템_타입_단위+COUNTIFS($C$4:C84,C84,$D$4:D84,D84)</f>
        <v>101081</v>
      </c>
      <c r="B84" s="129" t="s">
        <v>329</v>
      </c>
      <c r="C84" s="128">
        <v>1</v>
      </c>
      <c r="D84" s="128">
        <v>1</v>
      </c>
      <c r="E84" s="128">
        <v>9999</v>
      </c>
      <c r="F84" s="141" t="str">
        <f t="shared" si="3"/>
        <v>ITEM_NAME_101081</v>
      </c>
      <c r="G84" s="141" t="str">
        <f t="shared" si="4"/>
        <v>ITEM_ICON_101081</v>
      </c>
      <c r="H84" s="141" t="str">
        <f t="shared" si="5"/>
        <v>ITEM_DESC_101081</v>
      </c>
    </row>
    <row r="85" spans="1:8" ht="13.9" customHeight="1">
      <c r="A85" s="128">
        <f>C85*ID규칙_아이템_구분_단위+D85*ID규칙_아이템_타입_단위+COUNTIFS($C$4:C85,C85,$D$4:D85,D85)</f>
        <v>101082</v>
      </c>
      <c r="B85" s="129" t="s">
        <v>330</v>
      </c>
      <c r="C85" s="128">
        <v>1</v>
      </c>
      <c r="D85" s="128">
        <v>1</v>
      </c>
      <c r="E85" s="128">
        <v>9999</v>
      </c>
      <c r="F85" s="141" t="str">
        <f t="shared" si="3"/>
        <v>ITEM_NAME_101082</v>
      </c>
      <c r="G85" s="141" t="str">
        <f t="shared" si="4"/>
        <v>ITEM_ICON_101082</v>
      </c>
      <c r="H85" s="141" t="str">
        <f t="shared" si="5"/>
        <v>ITEM_DESC_101082</v>
      </c>
    </row>
    <row r="86" spans="1:8" ht="13.9" customHeight="1">
      <c r="A86" s="128">
        <f>C86*ID규칙_아이템_구분_단위+D86*ID규칙_아이템_타입_단위+COUNTIFS($C$4:C86,C86,$D$4:D86,D86)</f>
        <v>101083</v>
      </c>
      <c r="B86" s="129" t="s">
        <v>331</v>
      </c>
      <c r="C86" s="128">
        <v>1</v>
      </c>
      <c r="D86" s="128">
        <v>1</v>
      </c>
      <c r="E86" s="128">
        <v>9999</v>
      </c>
      <c r="F86" s="141" t="str">
        <f t="shared" si="3"/>
        <v>ITEM_NAME_101083</v>
      </c>
      <c r="G86" s="141" t="str">
        <f t="shared" si="4"/>
        <v>ITEM_ICON_101083</v>
      </c>
      <c r="H86" s="141" t="str">
        <f t="shared" si="5"/>
        <v>ITEM_DESC_101083</v>
      </c>
    </row>
    <row r="87" spans="1:8" ht="13.9" customHeight="1">
      <c r="A87" s="128">
        <f>C87*ID규칙_아이템_구분_단위+D87*ID규칙_아이템_타입_단위+COUNTIFS($C$4:C87,C87,$D$4:D87,D87)</f>
        <v>101084</v>
      </c>
      <c r="B87" s="129" t="s">
        <v>332</v>
      </c>
      <c r="C87" s="128">
        <v>1</v>
      </c>
      <c r="D87" s="128">
        <v>1</v>
      </c>
      <c r="E87" s="128">
        <v>9999</v>
      </c>
      <c r="F87" s="141" t="str">
        <f t="shared" si="3"/>
        <v>ITEM_NAME_101084</v>
      </c>
      <c r="G87" s="141" t="str">
        <f t="shared" si="4"/>
        <v>ITEM_ICON_101084</v>
      </c>
      <c r="H87" s="141" t="str">
        <f t="shared" si="5"/>
        <v>ITEM_DESC_101084</v>
      </c>
    </row>
    <row r="88" spans="1:8" ht="13.9" customHeight="1">
      <c r="A88" s="128">
        <f>C88*ID규칙_아이템_구분_단위+D88*ID규칙_아이템_타입_단위+COUNTIFS($C$4:C88,C88,$D$4:D88,D88)</f>
        <v>101085</v>
      </c>
      <c r="B88" s="129" t="s">
        <v>333</v>
      </c>
      <c r="C88" s="128">
        <v>1</v>
      </c>
      <c r="D88" s="128">
        <v>1</v>
      </c>
      <c r="E88" s="128">
        <v>9999</v>
      </c>
      <c r="F88" s="141" t="str">
        <f t="shared" si="3"/>
        <v>ITEM_NAME_101085</v>
      </c>
      <c r="G88" s="141" t="str">
        <f t="shared" si="4"/>
        <v>ITEM_ICON_101085</v>
      </c>
      <c r="H88" s="141" t="str">
        <f t="shared" si="5"/>
        <v>ITEM_DESC_101085</v>
      </c>
    </row>
    <row r="89" spans="1:8" ht="13.9" customHeight="1">
      <c r="A89" s="128">
        <f>C89*ID규칙_아이템_구분_단위+D89*ID규칙_아이템_타입_단위+COUNTIFS($C$4:C89,C89,$D$4:D89,D89)</f>
        <v>101086</v>
      </c>
      <c r="B89" s="129" t="s">
        <v>334</v>
      </c>
      <c r="C89" s="128">
        <v>1</v>
      </c>
      <c r="D89" s="128">
        <v>1</v>
      </c>
      <c r="E89" s="128">
        <v>9999</v>
      </c>
      <c r="F89" s="141" t="str">
        <f t="shared" si="3"/>
        <v>ITEM_NAME_101086</v>
      </c>
      <c r="G89" s="141" t="str">
        <f t="shared" si="4"/>
        <v>ITEM_ICON_101086</v>
      </c>
      <c r="H89" s="141" t="str">
        <f t="shared" si="5"/>
        <v>ITEM_DESC_101086</v>
      </c>
    </row>
    <row r="90" spans="1:8" ht="13.9" customHeight="1">
      <c r="A90" s="128">
        <f>C90*ID규칙_아이템_구분_단위+D90*ID규칙_아이템_타입_단위+COUNTIFS($C$4:C90,C90,$D$4:D90,D90)</f>
        <v>101087</v>
      </c>
      <c r="B90" s="129" t="s">
        <v>335</v>
      </c>
      <c r="C90" s="128">
        <v>1</v>
      </c>
      <c r="D90" s="128">
        <v>1</v>
      </c>
      <c r="E90" s="128">
        <v>9999</v>
      </c>
      <c r="F90" s="141" t="str">
        <f t="shared" si="3"/>
        <v>ITEM_NAME_101087</v>
      </c>
      <c r="G90" s="141" t="str">
        <f t="shared" si="4"/>
        <v>ITEM_ICON_101087</v>
      </c>
      <c r="H90" s="141" t="str">
        <f t="shared" si="5"/>
        <v>ITEM_DESC_101087</v>
      </c>
    </row>
    <row r="91" spans="1:8" ht="13.9" customHeight="1">
      <c r="A91" s="128">
        <f>C91*ID규칙_아이템_구분_단위+D91*ID규칙_아이템_타입_단위+COUNTIFS($C$4:C91,C91,$D$4:D91,D91)</f>
        <v>101088</v>
      </c>
      <c r="B91" s="129" t="s">
        <v>336</v>
      </c>
      <c r="C91" s="128">
        <v>1</v>
      </c>
      <c r="D91" s="128">
        <v>1</v>
      </c>
      <c r="E91" s="128">
        <v>9999</v>
      </c>
      <c r="F91" s="141" t="str">
        <f t="shared" si="3"/>
        <v>ITEM_NAME_101088</v>
      </c>
      <c r="G91" s="141" t="str">
        <f t="shared" si="4"/>
        <v>ITEM_ICON_101088</v>
      </c>
      <c r="H91" s="141" t="str">
        <f t="shared" si="5"/>
        <v>ITEM_DESC_101088</v>
      </c>
    </row>
    <row r="92" spans="1:8" ht="13.9" customHeight="1">
      <c r="A92" s="128">
        <f>C92*ID규칙_아이템_구분_단위+D92*ID규칙_아이템_타입_단위+COUNTIFS($C$4:C92,C92,$D$4:D92,D92)</f>
        <v>101089</v>
      </c>
      <c r="B92" s="129" t="s">
        <v>337</v>
      </c>
      <c r="C92" s="128">
        <v>1</v>
      </c>
      <c r="D92" s="128">
        <v>1</v>
      </c>
      <c r="E92" s="128">
        <v>9999</v>
      </c>
      <c r="F92" s="141" t="str">
        <f t="shared" si="3"/>
        <v>ITEM_NAME_101089</v>
      </c>
      <c r="G92" s="141" t="str">
        <f t="shared" si="4"/>
        <v>ITEM_ICON_101089</v>
      </c>
      <c r="H92" s="141" t="str">
        <f t="shared" si="5"/>
        <v>ITEM_DESC_101089</v>
      </c>
    </row>
    <row r="93" spans="1:8" ht="13.9" customHeight="1">
      <c r="A93" s="128">
        <f>C93*ID규칙_아이템_구분_단위+D93*ID규칙_아이템_타입_단위+COUNTIFS($C$4:C93,C93,$D$4:D93,D93)</f>
        <v>101090</v>
      </c>
      <c r="B93" s="129" t="s">
        <v>338</v>
      </c>
      <c r="C93" s="128">
        <v>1</v>
      </c>
      <c r="D93" s="128">
        <v>1</v>
      </c>
      <c r="E93" s="128">
        <v>9999</v>
      </c>
      <c r="F93" s="141" t="str">
        <f t="shared" si="3"/>
        <v>ITEM_NAME_101090</v>
      </c>
      <c r="G93" s="141" t="str">
        <f t="shared" si="4"/>
        <v>ITEM_ICON_101090</v>
      </c>
      <c r="H93" s="141" t="str">
        <f t="shared" si="5"/>
        <v>ITEM_DESC_101090</v>
      </c>
    </row>
    <row r="94" spans="1:8" ht="13.9" customHeight="1">
      <c r="A94" s="128">
        <f>C94*ID규칙_아이템_구분_단위+D94*ID규칙_아이템_타입_단위+COUNTIFS($C$4:C94,C94,$D$4:D94,D94)</f>
        <v>101091</v>
      </c>
      <c r="B94" s="129" t="s">
        <v>339</v>
      </c>
      <c r="C94" s="128">
        <v>1</v>
      </c>
      <c r="D94" s="128">
        <v>1</v>
      </c>
      <c r="E94" s="128">
        <v>9999</v>
      </c>
      <c r="F94" s="141" t="str">
        <f t="shared" si="3"/>
        <v>ITEM_NAME_101091</v>
      </c>
      <c r="G94" s="141" t="str">
        <f t="shared" si="4"/>
        <v>ITEM_ICON_101091</v>
      </c>
      <c r="H94" s="141" t="str">
        <f t="shared" si="5"/>
        <v>ITEM_DESC_101091</v>
      </c>
    </row>
    <row r="95" spans="1:8" ht="13.9" customHeight="1">
      <c r="A95" s="128">
        <f>C95*ID규칙_아이템_구분_단위+D95*ID규칙_아이템_타입_단위+COUNTIFS($C$4:C95,C95,$D$4:D95,D95)</f>
        <v>101092</v>
      </c>
      <c r="B95" s="129" t="s">
        <v>340</v>
      </c>
      <c r="C95" s="128">
        <v>1</v>
      </c>
      <c r="D95" s="128">
        <v>1</v>
      </c>
      <c r="E95" s="128">
        <v>9999</v>
      </c>
      <c r="F95" s="141" t="str">
        <f t="shared" si="3"/>
        <v>ITEM_NAME_101092</v>
      </c>
      <c r="G95" s="141" t="str">
        <f t="shared" si="4"/>
        <v>ITEM_ICON_101092</v>
      </c>
      <c r="H95" s="141" t="str">
        <f t="shared" si="5"/>
        <v>ITEM_DESC_101092</v>
      </c>
    </row>
    <row r="96" spans="1:8" ht="13.9" customHeight="1">
      <c r="A96" s="128">
        <f>C96*ID규칙_아이템_구분_단위+D96*ID규칙_아이템_타입_단위+COUNTIFS($C$4:C96,C96,$D$4:D96,D96)</f>
        <v>101093</v>
      </c>
      <c r="B96" s="129" t="s">
        <v>341</v>
      </c>
      <c r="C96" s="128">
        <v>1</v>
      </c>
      <c r="D96" s="128">
        <v>1</v>
      </c>
      <c r="E96" s="128">
        <v>9999</v>
      </c>
      <c r="F96" s="141" t="str">
        <f t="shared" si="3"/>
        <v>ITEM_NAME_101093</v>
      </c>
      <c r="G96" s="141" t="str">
        <f t="shared" si="4"/>
        <v>ITEM_ICON_101093</v>
      </c>
      <c r="H96" s="141" t="str">
        <f t="shared" si="5"/>
        <v>ITEM_DESC_101093</v>
      </c>
    </row>
    <row r="97" spans="1:8" ht="13.9" customHeight="1">
      <c r="A97" s="128">
        <f>C97*ID규칙_아이템_구분_단위+D97*ID규칙_아이템_타입_단위+COUNTIFS($C$4:C97,C97,$D$4:D97,D97)</f>
        <v>101094</v>
      </c>
      <c r="B97" s="129" t="s">
        <v>342</v>
      </c>
      <c r="C97" s="128">
        <v>1</v>
      </c>
      <c r="D97" s="128">
        <v>1</v>
      </c>
      <c r="E97" s="128">
        <v>9999</v>
      </c>
      <c r="F97" s="141" t="str">
        <f t="shared" si="3"/>
        <v>ITEM_NAME_101094</v>
      </c>
      <c r="G97" s="141" t="str">
        <f t="shared" si="4"/>
        <v>ITEM_ICON_101094</v>
      </c>
      <c r="H97" s="141" t="str">
        <f t="shared" si="5"/>
        <v>ITEM_DESC_101094</v>
      </c>
    </row>
    <row r="98" spans="1:8" ht="13.9" customHeight="1">
      <c r="A98" s="128">
        <f>C98*ID규칙_아이템_구분_단위+D98*ID규칙_아이템_타입_단위+COUNTIFS($C$4:C98,C98,$D$4:D98,D98)</f>
        <v>101095</v>
      </c>
      <c r="B98" s="129" t="s">
        <v>343</v>
      </c>
      <c r="C98" s="128">
        <v>1</v>
      </c>
      <c r="D98" s="128">
        <v>1</v>
      </c>
      <c r="E98" s="128">
        <v>9999</v>
      </c>
      <c r="F98" s="141" t="str">
        <f t="shared" si="3"/>
        <v>ITEM_NAME_101095</v>
      </c>
      <c r="G98" s="141" t="str">
        <f t="shared" si="4"/>
        <v>ITEM_ICON_101095</v>
      </c>
      <c r="H98" s="141" t="str">
        <f t="shared" si="5"/>
        <v>ITEM_DESC_101095</v>
      </c>
    </row>
    <row r="99" spans="1:8" ht="13.9" customHeight="1">
      <c r="A99" s="128">
        <f>C99*ID규칙_아이템_구분_단위+D99*ID규칙_아이템_타입_단위+COUNTIFS($C$4:C99,C99,$D$4:D99,D99)</f>
        <v>101096</v>
      </c>
      <c r="B99" s="129" t="s">
        <v>344</v>
      </c>
      <c r="C99" s="128">
        <v>1</v>
      </c>
      <c r="D99" s="128">
        <v>1</v>
      </c>
      <c r="E99" s="128">
        <v>9999</v>
      </c>
      <c r="F99" s="141" t="str">
        <f t="shared" si="3"/>
        <v>ITEM_NAME_101096</v>
      </c>
      <c r="G99" s="141" t="str">
        <f t="shared" si="4"/>
        <v>ITEM_ICON_101096</v>
      </c>
      <c r="H99" s="141" t="str">
        <f t="shared" si="5"/>
        <v>ITEM_DESC_101096</v>
      </c>
    </row>
    <row r="100" spans="1:8" ht="13.9" customHeight="1">
      <c r="A100" s="128">
        <f>C100*ID규칙_아이템_구분_단위+D100*ID규칙_아이템_타입_단위+COUNTIFS($C$4:C100,C100,$D$4:D100,D100)</f>
        <v>202001</v>
      </c>
      <c r="B100" s="129" t="s">
        <v>345</v>
      </c>
      <c r="C100" s="128">
        <v>2</v>
      </c>
      <c r="D100" s="128">
        <v>2</v>
      </c>
      <c r="E100" s="128">
        <v>9999</v>
      </c>
      <c r="F100" s="141" t="str">
        <f t="shared" si="3"/>
        <v>ITEM_NAME_202001</v>
      </c>
      <c r="G100" s="141" t="str">
        <f t="shared" si="4"/>
        <v>ITEM_ICON_202001</v>
      </c>
      <c r="H100" s="141" t="str">
        <f t="shared" si="5"/>
        <v>ITEM_DESC_202001</v>
      </c>
    </row>
    <row r="101" spans="1:8" ht="13.9" customHeight="1">
      <c r="A101" s="128">
        <f>C101*ID규칙_아이템_구분_단위+D101*ID규칙_아이템_타입_단위+COUNTIFS($C$4:C101,C101,$D$4:D101,D101)</f>
        <v>202002</v>
      </c>
      <c r="B101" s="129" t="s">
        <v>346</v>
      </c>
      <c r="C101" s="128">
        <v>2</v>
      </c>
      <c r="D101" s="128">
        <v>2</v>
      </c>
      <c r="E101" s="128">
        <v>9999</v>
      </c>
      <c r="F101" s="141" t="str">
        <f t="shared" si="3"/>
        <v>ITEM_NAME_202002</v>
      </c>
      <c r="G101" s="141" t="str">
        <f t="shared" si="4"/>
        <v>ITEM_ICON_202002</v>
      </c>
      <c r="H101" s="141" t="str">
        <f t="shared" si="5"/>
        <v>ITEM_DESC_202002</v>
      </c>
    </row>
    <row r="102" spans="1:8" ht="13.9" customHeight="1">
      <c r="A102" s="128">
        <f>C102*ID규칙_아이템_구분_단위+D102*ID규칙_아이템_타입_단위+COUNTIFS($C$4:C102,C102,$D$4:D102,D102)</f>
        <v>202003</v>
      </c>
      <c r="B102" s="129" t="s">
        <v>347</v>
      </c>
      <c r="C102" s="128">
        <v>2</v>
      </c>
      <c r="D102" s="128">
        <v>2</v>
      </c>
      <c r="E102" s="128">
        <v>9999</v>
      </c>
      <c r="F102" s="141" t="str">
        <f t="shared" si="3"/>
        <v>ITEM_NAME_202003</v>
      </c>
      <c r="G102" s="141" t="str">
        <f t="shared" si="4"/>
        <v>ITEM_ICON_202003</v>
      </c>
      <c r="H102" s="141" t="str">
        <f t="shared" si="5"/>
        <v>ITEM_DESC_202003</v>
      </c>
    </row>
    <row r="103" spans="1:8" ht="13.9" customHeight="1">
      <c r="A103" s="128">
        <f>C103*ID규칙_아이템_구분_단위+D103*ID규칙_아이템_타입_단위+COUNTIFS($C$4:C103,C103,$D$4:D103,D103)</f>
        <v>202004</v>
      </c>
      <c r="B103" s="129" t="s">
        <v>348</v>
      </c>
      <c r="C103" s="128">
        <v>2</v>
      </c>
      <c r="D103" s="128">
        <v>2</v>
      </c>
      <c r="E103" s="128">
        <v>9999</v>
      </c>
      <c r="F103" s="141" t="str">
        <f t="shared" si="3"/>
        <v>ITEM_NAME_202004</v>
      </c>
      <c r="G103" s="141" t="str">
        <f t="shared" si="4"/>
        <v>ITEM_ICON_202004</v>
      </c>
      <c r="H103" s="141" t="str">
        <f t="shared" si="5"/>
        <v>ITEM_DESC_202004</v>
      </c>
    </row>
    <row r="104" spans="1:8" ht="13.9" customHeight="1">
      <c r="A104" s="128">
        <f>C104*ID규칙_아이템_구분_단위+D104*ID규칙_아이템_타입_단위+COUNTIFS($C$4:C104,C104,$D$4:D104,D104)</f>
        <v>202005</v>
      </c>
      <c r="B104" s="129" t="s">
        <v>349</v>
      </c>
      <c r="C104" s="128">
        <v>2</v>
      </c>
      <c r="D104" s="128">
        <v>2</v>
      </c>
      <c r="E104" s="128">
        <v>9999</v>
      </c>
      <c r="F104" s="141" t="str">
        <f t="shared" si="3"/>
        <v>ITEM_NAME_202005</v>
      </c>
      <c r="G104" s="141" t="str">
        <f t="shared" si="4"/>
        <v>ITEM_ICON_202005</v>
      </c>
      <c r="H104" s="141" t="str">
        <f t="shared" si="5"/>
        <v>ITEM_DESC_202005</v>
      </c>
    </row>
    <row r="105" spans="1:8" ht="13.9" customHeight="1">
      <c r="A105" s="128">
        <f>C105*ID규칙_아이템_구분_단위+D105*ID규칙_아이템_타입_단위+COUNTIFS($C$4:C105,C105,$D$4:D105,D105)</f>
        <v>303001</v>
      </c>
      <c r="B105" s="129" t="s">
        <v>350</v>
      </c>
      <c r="C105" s="128">
        <v>3</v>
      </c>
      <c r="D105" s="128">
        <v>3</v>
      </c>
      <c r="E105" s="128">
        <v>9999</v>
      </c>
      <c r="F105" s="141" t="str">
        <f t="shared" si="3"/>
        <v>ITEM_NAME_303001</v>
      </c>
      <c r="G105" s="141" t="str">
        <f t="shared" si="4"/>
        <v>ITEM_ICON_303001</v>
      </c>
      <c r="H105" s="141" t="str">
        <f t="shared" si="5"/>
        <v>ITEM_DESC_303001</v>
      </c>
    </row>
    <row r="106" spans="1:8" ht="13.9" customHeight="1">
      <c r="A106" s="128">
        <f>C106*ID규칙_아이템_구분_단위+D106*ID규칙_아이템_타입_단위+COUNTIFS($C$4:C106,C106,$D$4:D106,D106)</f>
        <v>303002</v>
      </c>
      <c r="B106" s="129" t="s">
        <v>351</v>
      </c>
      <c r="C106" s="128">
        <v>3</v>
      </c>
      <c r="D106" s="128">
        <v>3</v>
      </c>
      <c r="E106" s="128">
        <v>9999</v>
      </c>
      <c r="F106" s="141" t="str">
        <f t="shared" si="3"/>
        <v>ITEM_NAME_303002</v>
      </c>
      <c r="G106" s="141" t="str">
        <f t="shared" si="4"/>
        <v>ITEM_ICON_303002</v>
      </c>
      <c r="H106" s="141" t="str">
        <f t="shared" si="5"/>
        <v>ITEM_DESC_303002</v>
      </c>
    </row>
    <row r="107" spans="1:8" ht="13.9" customHeight="1">
      <c r="A107" s="128">
        <f>C107*ID규칙_아이템_구분_단위+D107*ID규칙_아이템_타입_단위+COUNTIFS($C$4:C107,C107,$D$4:D107,D107)</f>
        <v>303003</v>
      </c>
      <c r="B107" s="129" t="s">
        <v>352</v>
      </c>
      <c r="C107" s="128">
        <v>3</v>
      </c>
      <c r="D107" s="128">
        <v>3</v>
      </c>
      <c r="E107" s="128">
        <v>9999</v>
      </c>
      <c r="F107" s="141" t="str">
        <f t="shared" si="3"/>
        <v>ITEM_NAME_303003</v>
      </c>
      <c r="G107" s="141" t="str">
        <f t="shared" si="4"/>
        <v>ITEM_ICON_303003</v>
      </c>
      <c r="H107" s="141" t="str">
        <f t="shared" si="5"/>
        <v>ITEM_DESC_303003</v>
      </c>
    </row>
    <row r="108" spans="1:8" ht="13.9" customHeight="1">
      <c r="A108" s="128">
        <f>C108*ID규칙_아이템_구분_단위+D108*ID규칙_아이템_타입_단위+COUNTIFS($C$4:C108,C108,$D$4:D108,D108)</f>
        <v>303004</v>
      </c>
      <c r="B108" s="129" t="s">
        <v>353</v>
      </c>
      <c r="C108" s="128">
        <v>3</v>
      </c>
      <c r="D108" s="128">
        <v>3</v>
      </c>
      <c r="E108" s="128">
        <v>9999</v>
      </c>
      <c r="F108" s="141" t="str">
        <f t="shared" si="3"/>
        <v>ITEM_NAME_303004</v>
      </c>
      <c r="G108" s="141" t="str">
        <f t="shared" si="4"/>
        <v>ITEM_ICON_303004</v>
      </c>
      <c r="H108" s="141" t="str">
        <f t="shared" si="5"/>
        <v>ITEM_DESC_303004</v>
      </c>
    </row>
    <row r="109" spans="1:8" ht="13.9" customHeight="1">
      <c r="A109" s="128">
        <f>C109*ID규칙_아이템_구분_단위+D109*ID규칙_아이템_타입_단위+COUNTIFS($C$4:C109,C109,$D$4:D109,D109)</f>
        <v>303005</v>
      </c>
      <c r="B109" s="129" t="s">
        <v>354</v>
      </c>
      <c r="C109" s="128">
        <v>3</v>
      </c>
      <c r="D109" s="128">
        <v>3</v>
      </c>
      <c r="E109" s="128">
        <v>9999</v>
      </c>
      <c r="F109" s="141" t="str">
        <f t="shared" si="3"/>
        <v>ITEM_NAME_303005</v>
      </c>
      <c r="G109" s="141" t="str">
        <f t="shared" si="4"/>
        <v>ITEM_ICON_303005</v>
      </c>
      <c r="H109" s="141" t="str">
        <f t="shared" si="5"/>
        <v>ITEM_DESC_303005</v>
      </c>
    </row>
    <row r="110" spans="1:8" ht="13.9" customHeight="1">
      <c r="A110" s="128">
        <f>C110*ID규칙_아이템_구분_단위+D110*ID규칙_아이템_타입_단위+COUNTIFS($C$4:C110,C110,$D$4:D110,D110)</f>
        <v>303006</v>
      </c>
      <c r="B110" s="129" t="s">
        <v>355</v>
      </c>
      <c r="C110" s="128">
        <v>3</v>
      </c>
      <c r="D110" s="128">
        <v>3</v>
      </c>
      <c r="E110" s="128">
        <v>9999</v>
      </c>
      <c r="F110" s="141" t="str">
        <f t="shared" si="3"/>
        <v>ITEM_NAME_303006</v>
      </c>
      <c r="G110" s="141" t="str">
        <f t="shared" si="4"/>
        <v>ITEM_ICON_303006</v>
      </c>
      <c r="H110" s="141" t="str">
        <f t="shared" si="5"/>
        <v>ITEM_DESC_303006</v>
      </c>
    </row>
    <row r="111" spans="1:8" ht="13.9" customHeight="1">
      <c r="A111" s="128">
        <f>C111*ID규칙_아이템_구분_단위+D111*ID규칙_아이템_타입_단위+COUNTIFS($C$4:C111,C111,$D$4:D111,D111)</f>
        <v>306001</v>
      </c>
      <c r="B111" s="129" t="s">
        <v>356</v>
      </c>
      <c r="C111" s="128">
        <v>3</v>
      </c>
      <c r="D111" s="128">
        <v>6</v>
      </c>
      <c r="E111" s="128">
        <v>9999</v>
      </c>
      <c r="F111" s="141" t="str">
        <f t="shared" si="3"/>
        <v>ITEM_NAME_306001</v>
      </c>
      <c r="G111" s="141" t="str">
        <f t="shared" si="4"/>
        <v>ITEM_ICON_306001</v>
      </c>
      <c r="H111" s="141" t="str">
        <f t="shared" si="5"/>
        <v>ITEM_DESC_306001</v>
      </c>
    </row>
    <row r="112" spans="1:8" ht="13.9" customHeight="1">
      <c r="A112" s="128">
        <f>C112*ID규칙_아이템_구분_단위+D112*ID규칙_아이템_타입_단위+COUNTIFS($C$4:C112,C112,$D$4:D112,D112)</f>
        <v>305001</v>
      </c>
      <c r="B112" s="129" t="s">
        <v>357</v>
      </c>
      <c r="C112" s="128">
        <v>3</v>
      </c>
      <c r="D112" s="128">
        <v>5</v>
      </c>
      <c r="E112" s="128">
        <v>9999</v>
      </c>
      <c r="F112" s="141" t="str">
        <f t="shared" si="3"/>
        <v>ITEM_NAME_305001</v>
      </c>
      <c r="G112" s="141" t="str">
        <f t="shared" si="4"/>
        <v>ITEM_ICON_305001</v>
      </c>
      <c r="H112" s="141" t="str">
        <f t="shared" si="5"/>
        <v>ITEM_DESC_305001</v>
      </c>
    </row>
    <row r="113" spans="1:8" ht="13.9" customHeight="1">
      <c r="A113" s="128">
        <f>C113*ID규칙_아이템_구분_단위+D113*ID규칙_아이템_타입_단위+COUNTIFS($C$4:C113,C113,$D$4:D113,D113)</f>
        <v>305002</v>
      </c>
      <c r="B113" s="129" t="s">
        <v>358</v>
      </c>
      <c r="C113" s="128">
        <v>3</v>
      </c>
      <c r="D113" s="128">
        <v>5</v>
      </c>
      <c r="E113" s="128">
        <v>9999</v>
      </c>
      <c r="F113" s="141" t="str">
        <f t="shared" si="3"/>
        <v>ITEM_NAME_305002</v>
      </c>
      <c r="G113" s="141" t="str">
        <f t="shared" si="4"/>
        <v>ITEM_ICON_305002</v>
      </c>
      <c r="H113" s="141" t="str">
        <f t="shared" si="5"/>
        <v>ITEM_DESC_305002</v>
      </c>
    </row>
    <row r="114" spans="1:8" ht="13.9" customHeight="1">
      <c r="A114" s="128">
        <f>C114*ID규칙_아이템_구분_단위+D114*ID규칙_아이템_타입_단위+COUNTIFS($C$4:C114,C114,$D$4:D114,D114)</f>
        <v>305003</v>
      </c>
      <c r="B114" s="129" t="s">
        <v>359</v>
      </c>
      <c r="C114" s="128">
        <v>3</v>
      </c>
      <c r="D114" s="128">
        <v>5</v>
      </c>
      <c r="E114" s="128">
        <v>9999</v>
      </c>
      <c r="F114" s="141" t="str">
        <f t="shared" si="3"/>
        <v>ITEM_NAME_305003</v>
      </c>
      <c r="G114" s="141" t="str">
        <f t="shared" si="4"/>
        <v>ITEM_ICON_305003</v>
      </c>
      <c r="H114" s="141" t="str">
        <f t="shared" si="5"/>
        <v>ITEM_DESC_305003</v>
      </c>
    </row>
    <row r="115" spans="1:8" ht="13.9" customHeight="1">
      <c r="A115" s="128">
        <f>C115*ID규칙_아이템_구분_단위+D115*ID규칙_아이템_타입_단위+COUNTIFS($C$4:C115,C115,$D$4:D115,D115)</f>
        <v>305004</v>
      </c>
      <c r="B115" s="129" t="s">
        <v>360</v>
      </c>
      <c r="C115" s="128">
        <v>3</v>
      </c>
      <c r="D115" s="128">
        <v>5</v>
      </c>
      <c r="E115" s="128">
        <v>9999</v>
      </c>
      <c r="F115" s="141" t="str">
        <f t="shared" si="3"/>
        <v>ITEM_NAME_305004</v>
      </c>
      <c r="G115" s="141" t="str">
        <f t="shared" si="4"/>
        <v>ITEM_ICON_305004</v>
      </c>
      <c r="H115" s="141" t="str">
        <f t="shared" si="5"/>
        <v>ITEM_DESC_305004</v>
      </c>
    </row>
    <row r="116" spans="1:8" ht="13.9" customHeight="1">
      <c r="A116" s="128">
        <f>C116*ID규칙_아이템_구분_단위+D116*ID규칙_아이템_타입_단위+COUNTIFS($C$4:C116,C116,$D$4:D116,D116)</f>
        <v>304001</v>
      </c>
      <c r="B116" s="129" t="s">
        <v>361</v>
      </c>
      <c r="C116" s="128">
        <v>3</v>
      </c>
      <c r="D116" s="128">
        <v>4</v>
      </c>
      <c r="E116" s="128">
        <v>9999</v>
      </c>
      <c r="F116" s="141" t="str">
        <f t="shared" si="3"/>
        <v>ITEM_NAME_304001</v>
      </c>
      <c r="G116" s="141" t="str">
        <f t="shared" si="4"/>
        <v>ITEM_ICON_304001</v>
      </c>
      <c r="H116" s="141" t="str">
        <f t="shared" si="5"/>
        <v>ITEM_DESC_304001</v>
      </c>
    </row>
    <row r="117" spans="1:8" ht="13.9" customHeight="1">
      <c r="A117" s="128">
        <f>C117*ID규칙_아이템_구분_단위+D117*ID규칙_아이템_타입_단위+COUNTIFS($C$4:C117,C117,$D$4:D117,D117)</f>
        <v>304002</v>
      </c>
      <c r="B117" s="129" t="s">
        <v>362</v>
      </c>
      <c r="C117" s="128">
        <v>3</v>
      </c>
      <c r="D117" s="128">
        <v>4</v>
      </c>
      <c r="E117" s="128">
        <v>9999</v>
      </c>
      <c r="F117" s="141" t="str">
        <f t="shared" si="3"/>
        <v>ITEM_NAME_304002</v>
      </c>
      <c r="G117" s="141" t="str">
        <f t="shared" si="4"/>
        <v>ITEM_ICON_304002</v>
      </c>
      <c r="H117" s="141" t="str">
        <f t="shared" si="5"/>
        <v>ITEM_DESC_304002</v>
      </c>
    </row>
    <row r="118" spans="1:8" ht="13.9" customHeight="1">
      <c r="A118" s="128">
        <f>C118*ID규칙_아이템_구분_단위+D118*ID규칙_아이템_타입_단위+COUNTIFS($C$4:C118,C118,$D$4:D118,D118)</f>
        <v>308001</v>
      </c>
      <c r="B118" s="129" t="s">
        <v>363</v>
      </c>
      <c r="C118" s="128">
        <v>3</v>
      </c>
      <c r="D118" s="128">
        <v>8</v>
      </c>
      <c r="E118" s="128">
        <v>9999</v>
      </c>
      <c r="F118" s="141" t="str">
        <f t="shared" si="3"/>
        <v>ITEM_NAME_308001</v>
      </c>
      <c r="G118" s="141" t="str">
        <f t="shared" si="4"/>
        <v>ITEM_ICON_308001</v>
      </c>
      <c r="H118" s="141" t="str">
        <f t="shared" si="5"/>
        <v>ITEM_DESC_308001</v>
      </c>
    </row>
    <row r="119" spans="1:8" ht="13.9" customHeight="1">
      <c r="A119" s="128">
        <f>C119*ID규칙_아이템_구분_단위+D119*ID규칙_아이템_타입_단위+COUNTIFS($C$4:C119,C119,$D$4:D119,D119)</f>
        <v>308002</v>
      </c>
      <c r="B119" s="129" t="s">
        <v>364</v>
      </c>
      <c r="C119" s="128">
        <v>3</v>
      </c>
      <c r="D119" s="128">
        <v>8</v>
      </c>
      <c r="E119" s="128">
        <v>9999</v>
      </c>
      <c r="F119" s="141" t="str">
        <f t="shared" si="3"/>
        <v>ITEM_NAME_308002</v>
      </c>
      <c r="G119" s="141" t="str">
        <f t="shared" si="4"/>
        <v>ITEM_ICON_308002</v>
      </c>
      <c r="H119" s="141" t="str">
        <f t="shared" si="5"/>
        <v>ITEM_DESC_308002</v>
      </c>
    </row>
    <row r="120" spans="1:8" ht="13.9" customHeight="1">
      <c r="A120" s="128">
        <f>C120*ID규칙_아이템_구분_단위+D120*ID규칙_아이템_타입_단위+COUNTIFS($C$4:C120,C120,$D$4:D120,D120)</f>
        <v>308003</v>
      </c>
      <c r="B120" s="129" t="s">
        <v>365</v>
      </c>
      <c r="C120" s="128">
        <v>3</v>
      </c>
      <c r="D120" s="128">
        <v>8</v>
      </c>
      <c r="E120" s="128">
        <v>9999</v>
      </c>
      <c r="F120" s="141" t="str">
        <f t="shared" si="3"/>
        <v>ITEM_NAME_308003</v>
      </c>
      <c r="G120" s="141" t="str">
        <f t="shared" si="4"/>
        <v>ITEM_ICON_308003</v>
      </c>
      <c r="H120" s="141" t="str">
        <f t="shared" si="5"/>
        <v>ITEM_DESC_308003</v>
      </c>
    </row>
    <row r="121" spans="1:8" ht="13.9" customHeight="1">
      <c r="A121" s="128">
        <f>C121*ID규칙_아이템_구분_단위+D121*ID규칙_아이템_타입_단위+COUNTIFS($C$4:C121,C121,$D$4:D121,D121)</f>
        <v>309001</v>
      </c>
      <c r="B121" s="129" t="s">
        <v>366</v>
      </c>
      <c r="C121" s="128">
        <v>3</v>
      </c>
      <c r="D121" s="128">
        <v>9</v>
      </c>
      <c r="E121" s="128">
        <v>9999</v>
      </c>
      <c r="F121" s="141" t="str">
        <f t="shared" si="3"/>
        <v>ITEM_NAME_309001</v>
      </c>
      <c r="G121" s="141" t="str">
        <f t="shared" si="4"/>
        <v>ITEM_ICON_309001</v>
      </c>
      <c r="H121" s="141" t="str">
        <f t="shared" si="5"/>
        <v>ITEM_DESC_309001</v>
      </c>
    </row>
    <row r="122" spans="1:8" ht="13.9" customHeight="1">
      <c r="A122" s="128">
        <f>C122*ID규칙_아이템_구분_단위+D122*ID규칙_아이템_타입_단위+COUNTIFS($C$4:C122,C122,$D$4:D122,D122)</f>
        <v>309002</v>
      </c>
      <c r="B122" s="129" t="s">
        <v>367</v>
      </c>
      <c r="C122" s="128">
        <v>3</v>
      </c>
      <c r="D122" s="128">
        <v>9</v>
      </c>
      <c r="E122" s="128">
        <v>9999</v>
      </c>
      <c r="F122" s="141" t="str">
        <f t="shared" si="3"/>
        <v>ITEM_NAME_309002</v>
      </c>
      <c r="G122" s="141" t="str">
        <f t="shared" si="4"/>
        <v>ITEM_ICON_309002</v>
      </c>
      <c r="H122" s="141" t="str">
        <f t="shared" si="5"/>
        <v>ITEM_DESC_309002</v>
      </c>
    </row>
    <row r="123" spans="1:8" ht="13.9" customHeight="1">
      <c r="A123" s="128">
        <f>C123*ID규칙_아이템_구분_단위+D123*ID규칙_아이템_타입_단위+COUNTIFS($C$4:C123,C123,$D$4:D123,D123)</f>
        <v>309003</v>
      </c>
      <c r="B123" s="129" t="s">
        <v>368</v>
      </c>
      <c r="C123" s="128">
        <v>3</v>
      </c>
      <c r="D123" s="128">
        <v>9</v>
      </c>
      <c r="E123" s="128">
        <v>9999</v>
      </c>
      <c r="F123" s="141" t="str">
        <f t="shared" si="3"/>
        <v>ITEM_NAME_309003</v>
      </c>
      <c r="G123" s="141" t="str">
        <f t="shared" si="4"/>
        <v>ITEM_ICON_309003</v>
      </c>
      <c r="H123" s="141" t="str">
        <f t="shared" si="5"/>
        <v>ITEM_DESC_309003</v>
      </c>
    </row>
    <row r="124" spans="1:8" ht="13.9" customHeight="1">
      <c r="A124" s="128">
        <f>C124*ID규칙_아이템_구분_단위+D124*ID규칙_아이템_타입_단위+COUNTIFS($C$4:C124,C124,$D$4:D124,D124)</f>
        <v>309004</v>
      </c>
      <c r="B124" s="129" t="s">
        <v>369</v>
      </c>
      <c r="C124" s="128">
        <v>3</v>
      </c>
      <c r="D124" s="128">
        <v>9</v>
      </c>
      <c r="E124" s="128">
        <v>9999</v>
      </c>
      <c r="F124" s="141" t="str">
        <f t="shared" si="3"/>
        <v>ITEM_NAME_309004</v>
      </c>
      <c r="G124" s="141" t="str">
        <f t="shared" si="4"/>
        <v>ITEM_ICON_309004</v>
      </c>
      <c r="H124" s="141" t="str">
        <f t="shared" si="5"/>
        <v>ITEM_DESC_309004</v>
      </c>
    </row>
    <row r="125" spans="1:8" ht="13.9" customHeight="1">
      <c r="A125" s="128">
        <f>C125*ID규칙_아이템_구분_단위+D125*ID규칙_아이템_타입_단위+COUNTIFS($C$4:C125,C125,$D$4:D125,D125)</f>
        <v>309005</v>
      </c>
      <c r="B125" s="129" t="s">
        <v>370</v>
      </c>
      <c r="C125" s="128">
        <v>3</v>
      </c>
      <c r="D125" s="128">
        <v>9</v>
      </c>
      <c r="E125" s="128">
        <v>9999</v>
      </c>
      <c r="F125" s="141" t="str">
        <f t="shared" si="3"/>
        <v>ITEM_NAME_309005</v>
      </c>
      <c r="G125" s="141" t="str">
        <f t="shared" si="4"/>
        <v>ITEM_ICON_309005</v>
      </c>
      <c r="H125" s="141" t="str">
        <f t="shared" si="5"/>
        <v>ITEM_DESC_309005</v>
      </c>
    </row>
    <row r="126" spans="1:8" ht="13.9" customHeight="1">
      <c r="A126" s="128">
        <f>C126*ID규칙_아이템_구분_단위+D126*ID규칙_아이템_타입_단위+COUNTIFS($C$4:C126,C126,$D$4:D126,D126)</f>
        <v>309006</v>
      </c>
      <c r="B126" s="129" t="s">
        <v>371</v>
      </c>
      <c r="C126" s="128">
        <v>3</v>
      </c>
      <c r="D126" s="128">
        <v>9</v>
      </c>
      <c r="E126" s="128">
        <v>9999</v>
      </c>
      <c r="F126" s="141" t="str">
        <f t="shared" si="3"/>
        <v>ITEM_NAME_309006</v>
      </c>
      <c r="G126" s="141" t="str">
        <f t="shared" si="4"/>
        <v>ITEM_ICON_309006</v>
      </c>
      <c r="H126" s="141" t="str">
        <f t="shared" si="5"/>
        <v>ITEM_DESC_309006</v>
      </c>
    </row>
    <row r="127" spans="1:8" ht="13.9" customHeight="1">
      <c r="A127" s="128">
        <f>C127*ID규칙_아이템_구분_단위+D127*ID규칙_아이템_타입_단위+COUNTIFS($C$4:C127,C127,$D$4:D127,D127)</f>
        <v>309007</v>
      </c>
      <c r="B127" s="129" t="s">
        <v>372</v>
      </c>
      <c r="C127" s="128">
        <v>3</v>
      </c>
      <c r="D127" s="128">
        <v>9</v>
      </c>
      <c r="E127" s="128">
        <v>9999</v>
      </c>
      <c r="F127" s="141" t="str">
        <f t="shared" si="3"/>
        <v>ITEM_NAME_309007</v>
      </c>
      <c r="G127" s="141" t="str">
        <f t="shared" si="4"/>
        <v>ITEM_ICON_309007</v>
      </c>
      <c r="H127" s="141" t="str">
        <f t="shared" si="5"/>
        <v>ITEM_DESC_309007</v>
      </c>
    </row>
    <row r="128" spans="1:8" ht="13.9" customHeight="1">
      <c r="A128" s="128">
        <f>C128*ID규칙_아이템_구분_단위+D128*ID규칙_아이템_타입_단위+COUNTIFS($C$4:C128,C128,$D$4:D128,D128)</f>
        <v>309008</v>
      </c>
      <c r="B128" s="129" t="s">
        <v>373</v>
      </c>
      <c r="C128" s="128">
        <v>3</v>
      </c>
      <c r="D128" s="128">
        <v>9</v>
      </c>
      <c r="E128" s="128">
        <v>9999</v>
      </c>
      <c r="F128" s="141" t="str">
        <f t="shared" si="3"/>
        <v>ITEM_NAME_309008</v>
      </c>
      <c r="G128" s="141" t="str">
        <f t="shared" si="4"/>
        <v>ITEM_ICON_309008</v>
      </c>
      <c r="H128" s="141" t="str">
        <f t="shared" si="5"/>
        <v>ITEM_DESC_309008</v>
      </c>
    </row>
    <row r="129" spans="1:8" ht="13.9" customHeight="1">
      <c r="A129" s="128">
        <f>C129*ID규칙_아이템_구분_단위+D129*ID규칙_아이템_타입_단위+COUNTIFS($C$4:C129,C129,$D$4:D129,D129)</f>
        <v>309009</v>
      </c>
      <c r="B129" s="129" t="s">
        <v>374</v>
      </c>
      <c r="C129" s="128">
        <v>3</v>
      </c>
      <c r="D129" s="128">
        <v>9</v>
      </c>
      <c r="E129" s="128">
        <v>9999</v>
      </c>
      <c r="F129" s="141" t="str">
        <f t="shared" si="3"/>
        <v>ITEM_NAME_309009</v>
      </c>
      <c r="G129" s="141" t="str">
        <f t="shared" si="4"/>
        <v>ITEM_ICON_309009</v>
      </c>
      <c r="H129" s="141" t="str">
        <f t="shared" si="5"/>
        <v>ITEM_DESC_309009</v>
      </c>
    </row>
    <row r="130" spans="1:8" ht="13.9" customHeight="1">
      <c r="A130" s="128">
        <f>C130*ID규칙_아이템_구분_단위+D130*ID규칙_아이템_타입_단위+COUNTIFS($C$4:C130,C130,$D$4:D130,D130)</f>
        <v>309010</v>
      </c>
      <c r="B130" s="129" t="s">
        <v>375</v>
      </c>
      <c r="C130" s="128">
        <v>3</v>
      </c>
      <c r="D130" s="128">
        <v>9</v>
      </c>
      <c r="E130" s="128">
        <v>9999</v>
      </c>
      <c r="F130" s="141" t="str">
        <f t="shared" si="3"/>
        <v>ITEM_NAME_309010</v>
      </c>
      <c r="G130" s="141" t="str">
        <f t="shared" si="4"/>
        <v>ITEM_ICON_309010</v>
      </c>
      <c r="H130" s="141" t="str">
        <f t="shared" si="5"/>
        <v>ITEM_DESC_309010</v>
      </c>
    </row>
    <row r="131" spans="1:8" ht="13.9" customHeight="1">
      <c r="A131" s="128">
        <f>C131*ID규칙_아이템_구분_단위+D131*ID규칙_아이템_타입_단위+COUNTIFS($C$4:C131,C131,$D$4:D131,D131)</f>
        <v>309011</v>
      </c>
      <c r="B131" s="129" t="s">
        <v>376</v>
      </c>
      <c r="C131" s="128">
        <v>3</v>
      </c>
      <c r="D131" s="128">
        <v>9</v>
      </c>
      <c r="E131" s="128">
        <v>9999</v>
      </c>
      <c r="F131" s="141" t="str">
        <f t="shared" si="3"/>
        <v>ITEM_NAME_309011</v>
      </c>
      <c r="G131" s="141" t="str">
        <f t="shared" si="4"/>
        <v>ITEM_ICON_309011</v>
      </c>
      <c r="H131" s="141" t="str">
        <f t="shared" si="5"/>
        <v>ITEM_DESC_309011</v>
      </c>
    </row>
    <row r="132" spans="1:8" ht="13.9" customHeight="1">
      <c r="A132" s="128">
        <f>C132*ID규칙_아이템_구분_단위+D132*ID규칙_아이템_타입_단위+COUNTIFS($C$4:C132,C132,$D$4:D132,D132)</f>
        <v>309012</v>
      </c>
      <c r="B132" s="129" t="s">
        <v>377</v>
      </c>
      <c r="C132" s="128">
        <v>3</v>
      </c>
      <c r="D132" s="128">
        <v>9</v>
      </c>
      <c r="E132" s="128">
        <v>9999</v>
      </c>
      <c r="F132" s="141" t="str">
        <f t="shared" si="3"/>
        <v>ITEM_NAME_309012</v>
      </c>
      <c r="G132" s="141" t="str">
        <f t="shared" si="4"/>
        <v>ITEM_ICON_309012</v>
      </c>
      <c r="H132" s="141" t="str">
        <f t="shared" si="5"/>
        <v>ITEM_DESC_309012</v>
      </c>
    </row>
    <row r="133" spans="1:8" ht="13.9" customHeight="1">
      <c r="A133" s="128">
        <f>C133*ID규칙_아이템_구분_단위+D133*ID규칙_아이템_타입_단위+COUNTIFS($C$4:C133,C133,$D$4:D133,D133)</f>
        <v>309013</v>
      </c>
      <c r="B133" s="129" t="s">
        <v>378</v>
      </c>
      <c r="C133" s="128">
        <v>3</v>
      </c>
      <c r="D133" s="128">
        <v>9</v>
      </c>
      <c r="E133" s="128">
        <v>9999</v>
      </c>
      <c r="F133" s="141" t="str">
        <f t="shared" ref="F133:F196" si="6">"ITEM_NAME_"&amp;A133</f>
        <v>ITEM_NAME_309013</v>
      </c>
      <c r="G133" s="141" t="str">
        <f t="shared" ref="G133:G196" si="7">"ITEM_ICON_"&amp;A133</f>
        <v>ITEM_ICON_309013</v>
      </c>
      <c r="H133" s="141" t="str">
        <f t="shared" ref="H133:H196" si="8">"ITEM_DESC_"&amp;A133</f>
        <v>ITEM_DESC_309013</v>
      </c>
    </row>
    <row r="134" spans="1:8" ht="13.9" customHeight="1">
      <c r="A134" s="128">
        <f>C134*ID규칙_아이템_구분_단위+D134*ID규칙_아이템_타입_단위+COUNTIFS($C$4:C134,C134,$D$4:D134,D134)</f>
        <v>309014</v>
      </c>
      <c r="B134" s="129" t="s">
        <v>379</v>
      </c>
      <c r="C134" s="128">
        <v>3</v>
      </c>
      <c r="D134" s="128">
        <v>9</v>
      </c>
      <c r="E134" s="128">
        <v>9999</v>
      </c>
      <c r="F134" s="141" t="str">
        <f t="shared" si="6"/>
        <v>ITEM_NAME_309014</v>
      </c>
      <c r="G134" s="141" t="str">
        <f t="shared" si="7"/>
        <v>ITEM_ICON_309014</v>
      </c>
      <c r="H134" s="141" t="str">
        <f t="shared" si="8"/>
        <v>ITEM_DESC_309014</v>
      </c>
    </row>
    <row r="135" spans="1:8" ht="13.9" customHeight="1">
      <c r="A135" s="128">
        <f>C135*ID규칙_아이템_구분_단위+D135*ID규칙_아이템_타입_단위+COUNTIFS($C$4:C135,C135,$D$4:D135,D135)</f>
        <v>309015</v>
      </c>
      <c r="B135" s="129" t="s">
        <v>380</v>
      </c>
      <c r="C135" s="128">
        <v>3</v>
      </c>
      <c r="D135" s="128">
        <v>9</v>
      </c>
      <c r="E135" s="128">
        <v>9999</v>
      </c>
      <c r="F135" s="141" t="str">
        <f t="shared" si="6"/>
        <v>ITEM_NAME_309015</v>
      </c>
      <c r="G135" s="141" t="str">
        <f t="shared" si="7"/>
        <v>ITEM_ICON_309015</v>
      </c>
      <c r="H135" s="141" t="str">
        <f t="shared" si="8"/>
        <v>ITEM_DESC_309015</v>
      </c>
    </row>
    <row r="136" spans="1:8" ht="13.9" customHeight="1">
      <c r="A136" s="128">
        <f>C136*ID규칙_아이템_구분_단위+D136*ID규칙_아이템_타입_단위+COUNTIFS($C$4:C136,C136,$D$4:D136,D136)</f>
        <v>309016</v>
      </c>
      <c r="B136" s="129" t="s">
        <v>381</v>
      </c>
      <c r="C136" s="128">
        <v>3</v>
      </c>
      <c r="D136" s="128">
        <v>9</v>
      </c>
      <c r="E136" s="128">
        <v>9999</v>
      </c>
      <c r="F136" s="141" t="str">
        <f t="shared" si="6"/>
        <v>ITEM_NAME_309016</v>
      </c>
      <c r="G136" s="141" t="str">
        <f t="shared" si="7"/>
        <v>ITEM_ICON_309016</v>
      </c>
      <c r="H136" s="141" t="str">
        <f t="shared" si="8"/>
        <v>ITEM_DESC_309016</v>
      </c>
    </row>
    <row r="137" spans="1:8" ht="13.9" customHeight="1">
      <c r="A137" s="128">
        <f>C137*ID규칙_아이템_구분_단위+D137*ID규칙_아이템_타입_단위+COUNTIFS($C$4:C137,C137,$D$4:D137,D137)</f>
        <v>309017</v>
      </c>
      <c r="B137" s="129" t="s">
        <v>382</v>
      </c>
      <c r="C137" s="128">
        <v>3</v>
      </c>
      <c r="D137" s="128">
        <v>9</v>
      </c>
      <c r="E137" s="128">
        <v>9999</v>
      </c>
      <c r="F137" s="141" t="str">
        <f t="shared" si="6"/>
        <v>ITEM_NAME_309017</v>
      </c>
      <c r="G137" s="141" t="str">
        <f t="shared" si="7"/>
        <v>ITEM_ICON_309017</v>
      </c>
      <c r="H137" s="141" t="str">
        <f t="shared" si="8"/>
        <v>ITEM_DESC_309017</v>
      </c>
    </row>
    <row r="138" spans="1:8" ht="13.9" customHeight="1">
      <c r="A138" s="128">
        <f>C138*ID규칙_아이템_구분_단위+D138*ID규칙_아이템_타입_단위+COUNTIFS($C$4:C138,C138,$D$4:D138,D138)</f>
        <v>309018</v>
      </c>
      <c r="B138" s="129" t="s">
        <v>383</v>
      </c>
      <c r="C138" s="128">
        <v>3</v>
      </c>
      <c r="D138" s="128">
        <v>9</v>
      </c>
      <c r="E138" s="128">
        <v>9999</v>
      </c>
      <c r="F138" s="141" t="str">
        <f t="shared" si="6"/>
        <v>ITEM_NAME_309018</v>
      </c>
      <c r="G138" s="141" t="str">
        <f t="shared" si="7"/>
        <v>ITEM_ICON_309018</v>
      </c>
      <c r="H138" s="141" t="str">
        <f t="shared" si="8"/>
        <v>ITEM_DESC_309018</v>
      </c>
    </row>
    <row r="139" spans="1:8" ht="13.9" customHeight="1">
      <c r="A139" s="128">
        <f>C139*ID규칙_아이템_구분_단위+D139*ID규칙_아이템_타입_단위+COUNTIFS($C$4:C139,C139,$D$4:D139,D139)</f>
        <v>309019</v>
      </c>
      <c r="B139" s="129" t="s">
        <v>384</v>
      </c>
      <c r="C139" s="128">
        <v>3</v>
      </c>
      <c r="D139" s="128">
        <v>9</v>
      </c>
      <c r="E139" s="128">
        <v>9999</v>
      </c>
      <c r="F139" s="141" t="str">
        <f t="shared" si="6"/>
        <v>ITEM_NAME_309019</v>
      </c>
      <c r="G139" s="141" t="str">
        <f t="shared" si="7"/>
        <v>ITEM_ICON_309019</v>
      </c>
      <c r="H139" s="141" t="str">
        <f t="shared" si="8"/>
        <v>ITEM_DESC_309019</v>
      </c>
    </row>
    <row r="140" spans="1:8" ht="13.9" customHeight="1">
      <c r="A140" s="128">
        <f>C140*ID규칙_아이템_구분_단위+D140*ID규칙_아이템_타입_단위+COUNTIFS($C$4:C140,C140,$D$4:D140,D140)</f>
        <v>309020</v>
      </c>
      <c r="B140" s="129" t="s">
        <v>385</v>
      </c>
      <c r="C140" s="128">
        <v>3</v>
      </c>
      <c r="D140" s="128">
        <v>9</v>
      </c>
      <c r="E140" s="128">
        <v>9999</v>
      </c>
      <c r="F140" s="141" t="str">
        <f t="shared" si="6"/>
        <v>ITEM_NAME_309020</v>
      </c>
      <c r="G140" s="141" t="str">
        <f t="shared" si="7"/>
        <v>ITEM_ICON_309020</v>
      </c>
      <c r="H140" s="141" t="str">
        <f t="shared" si="8"/>
        <v>ITEM_DESC_309020</v>
      </c>
    </row>
    <row r="141" spans="1:8" ht="13.9" customHeight="1">
      <c r="A141" s="128">
        <f>C141*ID규칙_아이템_구분_단위+D141*ID규칙_아이템_타입_단위+COUNTIFS($C$4:C141,C141,$D$4:D141,D141)</f>
        <v>309021</v>
      </c>
      <c r="B141" s="129" t="s">
        <v>386</v>
      </c>
      <c r="C141" s="128">
        <v>3</v>
      </c>
      <c r="D141" s="128">
        <v>9</v>
      </c>
      <c r="E141" s="128">
        <v>9999</v>
      </c>
      <c r="F141" s="141" t="str">
        <f t="shared" si="6"/>
        <v>ITEM_NAME_309021</v>
      </c>
      <c r="G141" s="141" t="str">
        <f t="shared" si="7"/>
        <v>ITEM_ICON_309021</v>
      </c>
      <c r="H141" s="141" t="str">
        <f t="shared" si="8"/>
        <v>ITEM_DESC_309021</v>
      </c>
    </row>
    <row r="142" spans="1:8" ht="13.9" customHeight="1">
      <c r="A142" s="128">
        <f>C142*ID규칙_아이템_구분_단위+D142*ID규칙_아이템_타입_단위+COUNTIFS($C$4:C142,C142,$D$4:D142,D142)</f>
        <v>309022</v>
      </c>
      <c r="B142" s="129" t="s">
        <v>387</v>
      </c>
      <c r="C142" s="128">
        <v>3</v>
      </c>
      <c r="D142" s="128">
        <v>9</v>
      </c>
      <c r="E142" s="128">
        <v>9999</v>
      </c>
      <c r="F142" s="141" t="str">
        <f t="shared" si="6"/>
        <v>ITEM_NAME_309022</v>
      </c>
      <c r="G142" s="141" t="str">
        <f t="shared" si="7"/>
        <v>ITEM_ICON_309022</v>
      </c>
      <c r="H142" s="141" t="str">
        <f t="shared" si="8"/>
        <v>ITEM_DESC_309022</v>
      </c>
    </row>
    <row r="143" spans="1:8" ht="13.9" customHeight="1">
      <c r="A143" s="128">
        <f>C143*ID규칙_아이템_구분_단위+D143*ID규칙_아이템_타입_단위+COUNTIFS($C$4:C143,C143,$D$4:D143,D143)</f>
        <v>309023</v>
      </c>
      <c r="B143" s="129" t="s">
        <v>388</v>
      </c>
      <c r="C143" s="128">
        <v>3</v>
      </c>
      <c r="D143" s="128">
        <v>9</v>
      </c>
      <c r="E143" s="128">
        <v>9999</v>
      </c>
      <c r="F143" s="141" t="str">
        <f t="shared" si="6"/>
        <v>ITEM_NAME_309023</v>
      </c>
      <c r="G143" s="141" t="str">
        <f t="shared" si="7"/>
        <v>ITEM_ICON_309023</v>
      </c>
      <c r="H143" s="141" t="str">
        <f t="shared" si="8"/>
        <v>ITEM_DESC_309023</v>
      </c>
    </row>
    <row r="144" spans="1:8" ht="13.9" customHeight="1">
      <c r="A144" s="128">
        <f>C144*ID규칙_아이템_구분_단위+D144*ID규칙_아이템_타입_단위+COUNTIFS($C$4:C144,C144,$D$4:D144,D144)</f>
        <v>309024</v>
      </c>
      <c r="B144" s="129" t="s">
        <v>389</v>
      </c>
      <c r="C144" s="128">
        <v>3</v>
      </c>
      <c r="D144" s="128">
        <v>9</v>
      </c>
      <c r="E144" s="128">
        <v>9999</v>
      </c>
      <c r="F144" s="141" t="str">
        <f t="shared" si="6"/>
        <v>ITEM_NAME_309024</v>
      </c>
      <c r="G144" s="141" t="str">
        <f t="shared" si="7"/>
        <v>ITEM_ICON_309024</v>
      </c>
      <c r="H144" s="141" t="str">
        <f t="shared" si="8"/>
        <v>ITEM_DESC_309024</v>
      </c>
    </row>
    <row r="145" spans="1:8" ht="13.9" customHeight="1">
      <c r="A145" s="128">
        <f>C145*ID규칙_아이템_구분_단위+D145*ID규칙_아이템_타입_단위+COUNTIFS($C$4:C145,C145,$D$4:D145,D145)</f>
        <v>309025</v>
      </c>
      <c r="B145" s="129" t="s">
        <v>390</v>
      </c>
      <c r="C145" s="128">
        <v>3</v>
      </c>
      <c r="D145" s="128">
        <v>9</v>
      </c>
      <c r="E145" s="128">
        <v>9999</v>
      </c>
      <c r="F145" s="141" t="str">
        <f t="shared" si="6"/>
        <v>ITEM_NAME_309025</v>
      </c>
      <c r="G145" s="141" t="str">
        <f t="shared" si="7"/>
        <v>ITEM_ICON_309025</v>
      </c>
      <c r="H145" s="141" t="str">
        <f t="shared" si="8"/>
        <v>ITEM_DESC_309025</v>
      </c>
    </row>
    <row r="146" spans="1:8" ht="13.9" customHeight="1">
      <c r="A146" s="128">
        <f>C146*ID규칙_아이템_구분_단위+D146*ID규칙_아이템_타입_단위+COUNTIFS($C$4:C146,C146,$D$4:D146,D146)</f>
        <v>309026</v>
      </c>
      <c r="B146" s="129" t="s">
        <v>391</v>
      </c>
      <c r="C146" s="128">
        <v>3</v>
      </c>
      <c r="D146" s="128">
        <v>9</v>
      </c>
      <c r="E146" s="128">
        <v>9999</v>
      </c>
      <c r="F146" s="141" t="str">
        <f t="shared" si="6"/>
        <v>ITEM_NAME_309026</v>
      </c>
      <c r="G146" s="141" t="str">
        <f t="shared" si="7"/>
        <v>ITEM_ICON_309026</v>
      </c>
      <c r="H146" s="141" t="str">
        <f t="shared" si="8"/>
        <v>ITEM_DESC_309026</v>
      </c>
    </row>
    <row r="147" spans="1:8" ht="13.9" customHeight="1">
      <c r="A147" s="128">
        <f>C147*ID규칙_아이템_구분_단위+D147*ID규칙_아이템_타입_단위+COUNTIFS($C$4:C147,C147,$D$4:D147,D147)</f>
        <v>309027</v>
      </c>
      <c r="B147" s="129" t="s">
        <v>392</v>
      </c>
      <c r="C147" s="128">
        <v>3</v>
      </c>
      <c r="D147" s="128">
        <v>9</v>
      </c>
      <c r="E147" s="128">
        <v>9999</v>
      </c>
      <c r="F147" s="141" t="str">
        <f t="shared" si="6"/>
        <v>ITEM_NAME_309027</v>
      </c>
      <c r="G147" s="141" t="str">
        <f t="shared" si="7"/>
        <v>ITEM_ICON_309027</v>
      </c>
      <c r="H147" s="141" t="str">
        <f t="shared" si="8"/>
        <v>ITEM_DESC_309027</v>
      </c>
    </row>
    <row r="148" spans="1:8" ht="13.9" customHeight="1">
      <c r="A148" s="128">
        <f>C148*ID규칙_아이템_구분_단위+D148*ID규칙_아이템_타입_단위+COUNTIFS($C$4:C148,C148,$D$4:D148,D148)</f>
        <v>309028</v>
      </c>
      <c r="B148" s="129" t="s">
        <v>393</v>
      </c>
      <c r="C148" s="128">
        <v>3</v>
      </c>
      <c r="D148" s="128">
        <v>9</v>
      </c>
      <c r="E148" s="128">
        <v>9999</v>
      </c>
      <c r="F148" s="141" t="str">
        <f t="shared" si="6"/>
        <v>ITEM_NAME_309028</v>
      </c>
      <c r="G148" s="141" t="str">
        <f t="shared" si="7"/>
        <v>ITEM_ICON_309028</v>
      </c>
      <c r="H148" s="141" t="str">
        <f t="shared" si="8"/>
        <v>ITEM_DESC_309028</v>
      </c>
    </row>
    <row r="149" spans="1:8" ht="13.9" customHeight="1">
      <c r="A149" s="128">
        <f>C149*ID규칙_아이템_구분_단위+D149*ID규칙_아이템_타입_단위+COUNTIFS($C$4:C149,C149,$D$4:D149,D149)</f>
        <v>309029</v>
      </c>
      <c r="B149" s="129" t="s">
        <v>394</v>
      </c>
      <c r="C149" s="128">
        <v>3</v>
      </c>
      <c r="D149" s="128">
        <v>9</v>
      </c>
      <c r="E149" s="128">
        <v>9999</v>
      </c>
      <c r="F149" s="141" t="str">
        <f t="shared" si="6"/>
        <v>ITEM_NAME_309029</v>
      </c>
      <c r="G149" s="141" t="str">
        <f t="shared" si="7"/>
        <v>ITEM_ICON_309029</v>
      </c>
      <c r="H149" s="141" t="str">
        <f t="shared" si="8"/>
        <v>ITEM_DESC_309029</v>
      </c>
    </row>
    <row r="150" spans="1:8" ht="13.9" customHeight="1">
      <c r="A150" s="128">
        <f>C150*ID규칙_아이템_구분_단위+D150*ID규칙_아이템_타입_단위+COUNTIFS($C$4:C150,C150,$D$4:D150,D150)</f>
        <v>309030</v>
      </c>
      <c r="B150" s="129" t="s">
        <v>395</v>
      </c>
      <c r="C150" s="128">
        <v>3</v>
      </c>
      <c r="D150" s="128">
        <v>9</v>
      </c>
      <c r="E150" s="128">
        <v>9999</v>
      </c>
      <c r="F150" s="141" t="str">
        <f t="shared" si="6"/>
        <v>ITEM_NAME_309030</v>
      </c>
      <c r="G150" s="141" t="str">
        <f t="shared" si="7"/>
        <v>ITEM_ICON_309030</v>
      </c>
      <c r="H150" s="141" t="str">
        <f t="shared" si="8"/>
        <v>ITEM_DESC_309030</v>
      </c>
    </row>
    <row r="151" spans="1:8" ht="13.9" customHeight="1">
      <c r="A151" s="128">
        <f>C151*ID규칙_아이템_구분_단위+D151*ID규칙_아이템_타입_단위+COUNTIFS($C$4:C151,C151,$D$4:D151,D151)</f>
        <v>309031</v>
      </c>
      <c r="B151" s="129" t="s">
        <v>396</v>
      </c>
      <c r="C151" s="128">
        <v>3</v>
      </c>
      <c r="D151" s="128">
        <v>9</v>
      </c>
      <c r="E151" s="128">
        <v>9999</v>
      </c>
      <c r="F151" s="141" t="str">
        <f t="shared" si="6"/>
        <v>ITEM_NAME_309031</v>
      </c>
      <c r="G151" s="141" t="str">
        <f t="shared" si="7"/>
        <v>ITEM_ICON_309031</v>
      </c>
      <c r="H151" s="141" t="str">
        <f t="shared" si="8"/>
        <v>ITEM_DESC_309031</v>
      </c>
    </row>
    <row r="152" spans="1:8" ht="13.9" customHeight="1">
      <c r="A152" s="128">
        <f>C152*ID규칙_아이템_구분_단위+D152*ID규칙_아이템_타입_단위+COUNTIFS($C$4:C152,C152,$D$4:D152,D152)</f>
        <v>309032</v>
      </c>
      <c r="B152" s="129" t="s">
        <v>397</v>
      </c>
      <c r="C152" s="128">
        <v>3</v>
      </c>
      <c r="D152" s="128">
        <v>9</v>
      </c>
      <c r="E152" s="128">
        <v>9999</v>
      </c>
      <c r="F152" s="141" t="str">
        <f t="shared" si="6"/>
        <v>ITEM_NAME_309032</v>
      </c>
      <c r="G152" s="141" t="str">
        <f t="shared" si="7"/>
        <v>ITEM_ICON_309032</v>
      </c>
      <c r="H152" s="141" t="str">
        <f t="shared" si="8"/>
        <v>ITEM_DESC_309032</v>
      </c>
    </row>
    <row r="153" spans="1:8" ht="13.9" customHeight="1">
      <c r="A153" s="128">
        <f>C153*ID규칙_아이템_구분_단위+D153*ID규칙_아이템_타입_단위+COUNTIFS($C$4:C153,C153,$D$4:D153,D153)</f>
        <v>309033</v>
      </c>
      <c r="B153" s="129" t="s">
        <v>398</v>
      </c>
      <c r="C153" s="128">
        <v>3</v>
      </c>
      <c r="D153" s="128">
        <v>9</v>
      </c>
      <c r="E153" s="128">
        <v>9999</v>
      </c>
      <c r="F153" s="141" t="str">
        <f t="shared" si="6"/>
        <v>ITEM_NAME_309033</v>
      </c>
      <c r="G153" s="141" t="str">
        <f t="shared" si="7"/>
        <v>ITEM_ICON_309033</v>
      </c>
      <c r="H153" s="141" t="str">
        <f t="shared" si="8"/>
        <v>ITEM_DESC_309033</v>
      </c>
    </row>
    <row r="154" spans="1:8" ht="13.9" customHeight="1">
      <c r="A154" s="128">
        <f>C154*ID규칙_아이템_구분_단위+D154*ID규칙_아이템_타입_단위+COUNTIFS($C$4:C154,C154,$D$4:D154,D154)</f>
        <v>309034</v>
      </c>
      <c r="B154" s="129" t="s">
        <v>399</v>
      </c>
      <c r="C154" s="128">
        <v>3</v>
      </c>
      <c r="D154" s="128">
        <v>9</v>
      </c>
      <c r="E154" s="128">
        <v>9999</v>
      </c>
      <c r="F154" s="141" t="str">
        <f t="shared" si="6"/>
        <v>ITEM_NAME_309034</v>
      </c>
      <c r="G154" s="141" t="str">
        <f t="shared" si="7"/>
        <v>ITEM_ICON_309034</v>
      </c>
      <c r="H154" s="141" t="str">
        <f t="shared" si="8"/>
        <v>ITEM_DESC_309034</v>
      </c>
    </row>
    <row r="155" spans="1:8" ht="13.9" customHeight="1">
      <c r="A155" s="128">
        <f>C155*ID규칙_아이템_구분_단위+D155*ID규칙_아이템_타입_단위+COUNTIFS($C$4:C155,C155,$D$4:D155,D155)</f>
        <v>309035</v>
      </c>
      <c r="B155" s="129" t="s">
        <v>400</v>
      </c>
      <c r="C155" s="128">
        <v>3</v>
      </c>
      <c r="D155" s="128">
        <v>9</v>
      </c>
      <c r="E155" s="128">
        <v>9999</v>
      </c>
      <c r="F155" s="141" t="str">
        <f t="shared" si="6"/>
        <v>ITEM_NAME_309035</v>
      </c>
      <c r="G155" s="141" t="str">
        <f t="shared" si="7"/>
        <v>ITEM_ICON_309035</v>
      </c>
      <c r="H155" s="141" t="str">
        <f t="shared" si="8"/>
        <v>ITEM_DESC_309035</v>
      </c>
    </row>
    <row r="156" spans="1:8" ht="13.9" customHeight="1">
      <c r="A156" s="128">
        <f>C156*ID규칙_아이템_구분_단위+D156*ID규칙_아이템_타입_단위+COUNTIFS($C$4:C156,C156,$D$4:D156,D156)</f>
        <v>309036</v>
      </c>
      <c r="B156" s="129" t="s">
        <v>401</v>
      </c>
      <c r="C156" s="128">
        <v>3</v>
      </c>
      <c r="D156" s="128">
        <v>9</v>
      </c>
      <c r="E156" s="128">
        <v>9999</v>
      </c>
      <c r="F156" s="141" t="str">
        <f t="shared" si="6"/>
        <v>ITEM_NAME_309036</v>
      </c>
      <c r="G156" s="141" t="str">
        <f t="shared" si="7"/>
        <v>ITEM_ICON_309036</v>
      </c>
      <c r="H156" s="141" t="str">
        <f t="shared" si="8"/>
        <v>ITEM_DESC_309036</v>
      </c>
    </row>
    <row r="157" spans="1:8" ht="13.9" customHeight="1">
      <c r="A157" s="128">
        <f>C157*ID규칙_아이템_구분_단위+D157*ID규칙_아이템_타입_단위+COUNTIFS($C$4:C157,C157,$D$4:D157,D157)</f>
        <v>309037</v>
      </c>
      <c r="B157" s="129" t="s">
        <v>402</v>
      </c>
      <c r="C157" s="128">
        <v>3</v>
      </c>
      <c r="D157" s="128">
        <v>9</v>
      </c>
      <c r="E157" s="128">
        <v>9999</v>
      </c>
      <c r="F157" s="141" t="str">
        <f t="shared" si="6"/>
        <v>ITEM_NAME_309037</v>
      </c>
      <c r="G157" s="141" t="str">
        <f t="shared" si="7"/>
        <v>ITEM_ICON_309037</v>
      </c>
      <c r="H157" s="141" t="str">
        <f t="shared" si="8"/>
        <v>ITEM_DESC_309037</v>
      </c>
    </row>
    <row r="158" spans="1:8" ht="13.9" customHeight="1">
      <c r="A158" s="128">
        <f>C158*ID규칙_아이템_구분_단위+D158*ID규칙_아이템_타입_단위+COUNTIFS($C$4:C158,C158,$D$4:D158,D158)</f>
        <v>309038</v>
      </c>
      <c r="B158" s="129" t="s">
        <v>403</v>
      </c>
      <c r="C158" s="128">
        <v>3</v>
      </c>
      <c r="D158" s="128">
        <v>9</v>
      </c>
      <c r="E158" s="128">
        <v>9999</v>
      </c>
      <c r="F158" s="141" t="str">
        <f t="shared" si="6"/>
        <v>ITEM_NAME_309038</v>
      </c>
      <c r="G158" s="141" t="str">
        <f t="shared" si="7"/>
        <v>ITEM_ICON_309038</v>
      </c>
      <c r="H158" s="141" t="str">
        <f t="shared" si="8"/>
        <v>ITEM_DESC_309038</v>
      </c>
    </row>
    <row r="159" spans="1:8" ht="13.9" customHeight="1">
      <c r="A159" s="128">
        <f>C159*ID규칙_아이템_구분_단위+D159*ID규칙_아이템_타입_단위+COUNTIFS($C$4:C159,C159,$D$4:D159,D159)</f>
        <v>309039</v>
      </c>
      <c r="B159" s="129" t="s">
        <v>404</v>
      </c>
      <c r="C159" s="128">
        <v>3</v>
      </c>
      <c r="D159" s="128">
        <v>9</v>
      </c>
      <c r="E159" s="128">
        <v>9999</v>
      </c>
      <c r="F159" s="141" t="str">
        <f t="shared" si="6"/>
        <v>ITEM_NAME_309039</v>
      </c>
      <c r="G159" s="141" t="str">
        <f t="shared" si="7"/>
        <v>ITEM_ICON_309039</v>
      </c>
      <c r="H159" s="141" t="str">
        <f t="shared" si="8"/>
        <v>ITEM_DESC_309039</v>
      </c>
    </row>
    <row r="160" spans="1:8" ht="13.9" customHeight="1">
      <c r="A160" s="128">
        <f>C160*ID규칙_아이템_구분_단위+D160*ID규칙_아이템_타입_단위+COUNTIFS($C$4:C160,C160,$D$4:D160,D160)</f>
        <v>309040</v>
      </c>
      <c r="B160" s="129" t="s">
        <v>405</v>
      </c>
      <c r="C160" s="128">
        <v>3</v>
      </c>
      <c r="D160" s="128">
        <v>9</v>
      </c>
      <c r="E160" s="128">
        <v>9999</v>
      </c>
      <c r="F160" s="141" t="str">
        <f t="shared" si="6"/>
        <v>ITEM_NAME_309040</v>
      </c>
      <c r="G160" s="141" t="str">
        <f t="shared" si="7"/>
        <v>ITEM_ICON_309040</v>
      </c>
      <c r="H160" s="141" t="str">
        <f t="shared" si="8"/>
        <v>ITEM_DESC_309040</v>
      </c>
    </row>
    <row r="161" spans="1:8" ht="13.9" customHeight="1">
      <c r="A161" s="128">
        <f>C161*ID규칙_아이템_구분_단위+D161*ID규칙_아이템_타입_단위+COUNTIFS($C$4:C161,C161,$D$4:D161,D161)</f>
        <v>310001</v>
      </c>
      <c r="B161" s="129" t="s">
        <v>406</v>
      </c>
      <c r="C161" s="128">
        <v>3</v>
      </c>
      <c r="D161" s="128">
        <v>10</v>
      </c>
      <c r="E161" s="128">
        <v>9999</v>
      </c>
      <c r="F161" s="141" t="str">
        <f t="shared" si="6"/>
        <v>ITEM_NAME_310001</v>
      </c>
      <c r="G161" s="141" t="str">
        <f t="shared" si="7"/>
        <v>ITEM_ICON_310001</v>
      </c>
      <c r="H161" s="141" t="str">
        <f t="shared" si="8"/>
        <v>ITEM_DESC_310001</v>
      </c>
    </row>
    <row r="162" spans="1:8" ht="13.9" customHeight="1">
      <c r="A162" s="128">
        <f>C162*ID규칙_아이템_구분_단위+D162*ID규칙_아이템_타입_단위+COUNTIFS($C$4:C162,C162,$D$4:D162,D162)</f>
        <v>310002</v>
      </c>
      <c r="B162" s="129" t="s">
        <v>407</v>
      </c>
      <c r="C162" s="128">
        <v>3</v>
      </c>
      <c r="D162" s="128">
        <v>10</v>
      </c>
      <c r="E162" s="128">
        <v>9999</v>
      </c>
      <c r="F162" s="141" t="str">
        <f t="shared" si="6"/>
        <v>ITEM_NAME_310002</v>
      </c>
      <c r="G162" s="141" t="str">
        <f t="shared" si="7"/>
        <v>ITEM_ICON_310002</v>
      </c>
      <c r="H162" s="141" t="str">
        <f t="shared" si="8"/>
        <v>ITEM_DESC_310002</v>
      </c>
    </row>
    <row r="163" spans="1:8" ht="13.9" customHeight="1">
      <c r="A163" s="128">
        <f>C163*ID규칙_아이템_구분_단위+D163*ID규칙_아이템_타입_단위+COUNTIFS($C$4:C163,C163,$D$4:D163,D163)</f>
        <v>310003</v>
      </c>
      <c r="B163" s="129" t="s">
        <v>408</v>
      </c>
      <c r="C163" s="128">
        <v>3</v>
      </c>
      <c r="D163" s="128">
        <v>10</v>
      </c>
      <c r="E163" s="128">
        <v>9999</v>
      </c>
      <c r="F163" s="141" t="str">
        <f t="shared" si="6"/>
        <v>ITEM_NAME_310003</v>
      </c>
      <c r="G163" s="141" t="str">
        <f t="shared" si="7"/>
        <v>ITEM_ICON_310003</v>
      </c>
      <c r="H163" s="141" t="str">
        <f t="shared" si="8"/>
        <v>ITEM_DESC_310003</v>
      </c>
    </row>
    <row r="164" spans="1:8" ht="13.9" customHeight="1">
      <c r="A164" s="128">
        <f>C164*ID규칙_아이템_구분_단위+D164*ID규칙_아이템_타입_단위+COUNTIFS($C$4:C164,C164,$D$4:D164,D164)</f>
        <v>310004</v>
      </c>
      <c r="B164" s="129" t="s">
        <v>409</v>
      </c>
      <c r="C164" s="128">
        <v>3</v>
      </c>
      <c r="D164" s="128">
        <v>10</v>
      </c>
      <c r="E164" s="128">
        <v>9999</v>
      </c>
      <c r="F164" s="141" t="str">
        <f t="shared" si="6"/>
        <v>ITEM_NAME_310004</v>
      </c>
      <c r="G164" s="141" t="str">
        <f t="shared" si="7"/>
        <v>ITEM_ICON_310004</v>
      </c>
      <c r="H164" s="141" t="str">
        <f t="shared" si="8"/>
        <v>ITEM_DESC_310004</v>
      </c>
    </row>
    <row r="165" spans="1:8" ht="13.9" customHeight="1">
      <c r="A165" s="128">
        <f>C165*ID규칙_아이템_구분_단위+D165*ID규칙_아이템_타입_단위+COUNTIFS($C$4:C165,C165,$D$4:D165,D165)</f>
        <v>310005</v>
      </c>
      <c r="B165" s="129" t="s">
        <v>410</v>
      </c>
      <c r="C165" s="128">
        <v>3</v>
      </c>
      <c r="D165" s="128">
        <v>10</v>
      </c>
      <c r="E165" s="128">
        <v>9999</v>
      </c>
      <c r="F165" s="141" t="str">
        <f t="shared" si="6"/>
        <v>ITEM_NAME_310005</v>
      </c>
      <c r="G165" s="141" t="str">
        <f t="shared" si="7"/>
        <v>ITEM_ICON_310005</v>
      </c>
      <c r="H165" s="141" t="str">
        <f t="shared" si="8"/>
        <v>ITEM_DESC_310005</v>
      </c>
    </row>
    <row r="166" spans="1:8" ht="13.9" customHeight="1">
      <c r="A166" s="128">
        <f>C166*ID규칙_아이템_구분_단위+D166*ID규칙_아이템_타입_단위+COUNTIFS($C$4:C166,C166,$D$4:D166,D166)</f>
        <v>310006</v>
      </c>
      <c r="B166" s="129" t="s">
        <v>411</v>
      </c>
      <c r="C166" s="128">
        <v>3</v>
      </c>
      <c r="D166" s="128">
        <v>10</v>
      </c>
      <c r="E166" s="128">
        <v>9999</v>
      </c>
      <c r="F166" s="141" t="str">
        <f t="shared" si="6"/>
        <v>ITEM_NAME_310006</v>
      </c>
      <c r="G166" s="141" t="str">
        <f t="shared" si="7"/>
        <v>ITEM_ICON_310006</v>
      </c>
      <c r="H166" s="141" t="str">
        <f t="shared" si="8"/>
        <v>ITEM_DESC_310006</v>
      </c>
    </row>
    <row r="167" spans="1:8" ht="13.9" customHeight="1">
      <c r="A167" s="128">
        <f>C167*ID규칙_아이템_구분_단위+D167*ID규칙_아이템_타입_단위+COUNTIFS($C$4:C167,C167,$D$4:D167,D167)</f>
        <v>310007</v>
      </c>
      <c r="B167" s="129" t="s">
        <v>412</v>
      </c>
      <c r="C167" s="128">
        <v>3</v>
      </c>
      <c r="D167" s="128">
        <v>10</v>
      </c>
      <c r="E167" s="128">
        <v>9999</v>
      </c>
      <c r="F167" s="141" t="str">
        <f t="shared" si="6"/>
        <v>ITEM_NAME_310007</v>
      </c>
      <c r="G167" s="141" t="str">
        <f t="shared" si="7"/>
        <v>ITEM_ICON_310007</v>
      </c>
      <c r="H167" s="141" t="str">
        <f t="shared" si="8"/>
        <v>ITEM_DESC_310007</v>
      </c>
    </row>
    <row r="168" spans="1:8" ht="13.9" customHeight="1">
      <c r="A168" s="128">
        <f>C168*ID규칙_아이템_구분_단위+D168*ID규칙_아이템_타입_단위+COUNTIFS($C$4:C168,C168,$D$4:D168,D168)</f>
        <v>310008</v>
      </c>
      <c r="B168" s="129" t="s">
        <v>413</v>
      </c>
      <c r="C168" s="128">
        <v>3</v>
      </c>
      <c r="D168" s="128">
        <v>10</v>
      </c>
      <c r="E168" s="128">
        <v>9999</v>
      </c>
      <c r="F168" s="141" t="str">
        <f t="shared" si="6"/>
        <v>ITEM_NAME_310008</v>
      </c>
      <c r="G168" s="141" t="str">
        <f t="shared" si="7"/>
        <v>ITEM_ICON_310008</v>
      </c>
      <c r="H168" s="141" t="str">
        <f t="shared" si="8"/>
        <v>ITEM_DESC_310008</v>
      </c>
    </row>
    <row r="169" spans="1:8" ht="13.9" customHeight="1">
      <c r="A169" s="128">
        <f>C169*ID규칙_아이템_구분_단위+D169*ID규칙_아이템_타입_단위+COUNTIFS($C$4:C169,C169,$D$4:D169,D169)</f>
        <v>310009</v>
      </c>
      <c r="B169" s="129" t="s">
        <v>414</v>
      </c>
      <c r="C169" s="128">
        <v>3</v>
      </c>
      <c r="D169" s="128">
        <v>10</v>
      </c>
      <c r="E169" s="128">
        <v>9999</v>
      </c>
      <c r="F169" s="141" t="str">
        <f t="shared" si="6"/>
        <v>ITEM_NAME_310009</v>
      </c>
      <c r="G169" s="141" t="str">
        <f t="shared" si="7"/>
        <v>ITEM_ICON_310009</v>
      </c>
      <c r="H169" s="141" t="str">
        <f t="shared" si="8"/>
        <v>ITEM_DESC_310009</v>
      </c>
    </row>
    <row r="170" spans="1:8" ht="13.9" customHeight="1">
      <c r="A170" s="128">
        <f>C170*ID규칙_아이템_구분_단위+D170*ID규칙_아이템_타입_단위+COUNTIFS($C$4:C170,C170,$D$4:D170,D170)</f>
        <v>310010</v>
      </c>
      <c r="B170" s="129" t="s">
        <v>415</v>
      </c>
      <c r="C170" s="128">
        <v>3</v>
      </c>
      <c r="D170" s="128">
        <v>10</v>
      </c>
      <c r="E170" s="128">
        <v>9999</v>
      </c>
      <c r="F170" s="141" t="str">
        <f t="shared" si="6"/>
        <v>ITEM_NAME_310010</v>
      </c>
      <c r="G170" s="141" t="str">
        <f t="shared" si="7"/>
        <v>ITEM_ICON_310010</v>
      </c>
      <c r="H170" s="141" t="str">
        <f t="shared" si="8"/>
        <v>ITEM_DESC_310010</v>
      </c>
    </row>
    <row r="171" spans="1:8" ht="13.9" customHeight="1">
      <c r="A171" s="128">
        <f>C171*ID규칙_아이템_구분_단위+D171*ID규칙_아이템_타입_단위+COUNTIFS($C$4:C171,C171,$D$4:D171,D171)</f>
        <v>310011</v>
      </c>
      <c r="B171" s="129" t="s">
        <v>416</v>
      </c>
      <c r="C171" s="128">
        <v>3</v>
      </c>
      <c r="D171" s="128">
        <v>10</v>
      </c>
      <c r="E171" s="128">
        <v>9999</v>
      </c>
      <c r="F171" s="141" t="str">
        <f t="shared" si="6"/>
        <v>ITEM_NAME_310011</v>
      </c>
      <c r="G171" s="141" t="str">
        <f t="shared" si="7"/>
        <v>ITEM_ICON_310011</v>
      </c>
      <c r="H171" s="141" t="str">
        <f t="shared" si="8"/>
        <v>ITEM_DESC_310011</v>
      </c>
    </row>
    <row r="172" spans="1:8" ht="13.9" customHeight="1">
      <c r="A172" s="128">
        <f>C172*ID규칙_아이템_구분_단위+D172*ID규칙_아이템_타입_단위+COUNTIFS($C$4:C172,C172,$D$4:D172,D172)</f>
        <v>310012</v>
      </c>
      <c r="B172" s="129" t="s">
        <v>417</v>
      </c>
      <c r="C172" s="128">
        <v>3</v>
      </c>
      <c r="D172" s="128">
        <v>10</v>
      </c>
      <c r="E172" s="128">
        <v>9999</v>
      </c>
      <c r="F172" s="141" t="str">
        <f t="shared" si="6"/>
        <v>ITEM_NAME_310012</v>
      </c>
      <c r="G172" s="141" t="str">
        <f t="shared" si="7"/>
        <v>ITEM_ICON_310012</v>
      </c>
      <c r="H172" s="141" t="str">
        <f t="shared" si="8"/>
        <v>ITEM_DESC_310012</v>
      </c>
    </row>
    <row r="173" spans="1:8" ht="13.9" customHeight="1">
      <c r="A173" s="128">
        <f>C173*ID규칙_아이템_구분_단위+D173*ID규칙_아이템_타입_단위+COUNTIFS($C$4:C173,C173,$D$4:D173,D173)</f>
        <v>310013</v>
      </c>
      <c r="B173" s="129" t="s">
        <v>418</v>
      </c>
      <c r="C173" s="128">
        <v>3</v>
      </c>
      <c r="D173" s="128">
        <v>10</v>
      </c>
      <c r="E173" s="128">
        <v>9999</v>
      </c>
      <c r="F173" s="141" t="str">
        <f t="shared" si="6"/>
        <v>ITEM_NAME_310013</v>
      </c>
      <c r="G173" s="141" t="str">
        <f t="shared" si="7"/>
        <v>ITEM_ICON_310013</v>
      </c>
      <c r="H173" s="141" t="str">
        <f t="shared" si="8"/>
        <v>ITEM_DESC_310013</v>
      </c>
    </row>
    <row r="174" spans="1:8" ht="13.9" customHeight="1">
      <c r="A174" s="128">
        <f>C174*ID규칙_아이템_구분_단위+D174*ID규칙_아이템_타입_단위+COUNTIFS($C$4:C174,C174,$D$4:D174,D174)</f>
        <v>310014</v>
      </c>
      <c r="B174" s="129" t="s">
        <v>419</v>
      </c>
      <c r="C174" s="128">
        <v>3</v>
      </c>
      <c r="D174" s="128">
        <v>10</v>
      </c>
      <c r="E174" s="128">
        <v>9999</v>
      </c>
      <c r="F174" s="141" t="str">
        <f t="shared" si="6"/>
        <v>ITEM_NAME_310014</v>
      </c>
      <c r="G174" s="141" t="str">
        <f t="shared" si="7"/>
        <v>ITEM_ICON_310014</v>
      </c>
      <c r="H174" s="141" t="str">
        <f t="shared" si="8"/>
        <v>ITEM_DESC_310014</v>
      </c>
    </row>
    <row r="175" spans="1:8" ht="13.9" customHeight="1">
      <c r="A175" s="128">
        <f>C175*ID규칙_아이템_구분_단위+D175*ID규칙_아이템_타입_단위+COUNTIFS($C$4:C175,C175,$D$4:D175,D175)</f>
        <v>310015</v>
      </c>
      <c r="B175" s="129" t="s">
        <v>420</v>
      </c>
      <c r="C175" s="128">
        <v>3</v>
      </c>
      <c r="D175" s="128">
        <v>10</v>
      </c>
      <c r="E175" s="128">
        <v>9999</v>
      </c>
      <c r="F175" s="141" t="str">
        <f t="shared" si="6"/>
        <v>ITEM_NAME_310015</v>
      </c>
      <c r="G175" s="141" t="str">
        <f t="shared" si="7"/>
        <v>ITEM_ICON_310015</v>
      </c>
      <c r="H175" s="141" t="str">
        <f t="shared" si="8"/>
        <v>ITEM_DESC_310015</v>
      </c>
    </row>
    <row r="176" spans="1:8" ht="13.9" customHeight="1">
      <c r="A176" s="128">
        <f>C176*ID규칙_아이템_구분_단위+D176*ID규칙_아이템_타입_단위+COUNTIFS($C$4:C176,C176,$D$4:D176,D176)</f>
        <v>310016</v>
      </c>
      <c r="B176" s="129" t="s">
        <v>421</v>
      </c>
      <c r="C176" s="128">
        <v>3</v>
      </c>
      <c r="D176" s="128">
        <v>10</v>
      </c>
      <c r="E176" s="128">
        <v>9999</v>
      </c>
      <c r="F176" s="141" t="str">
        <f t="shared" si="6"/>
        <v>ITEM_NAME_310016</v>
      </c>
      <c r="G176" s="141" t="str">
        <f t="shared" si="7"/>
        <v>ITEM_ICON_310016</v>
      </c>
      <c r="H176" s="141" t="str">
        <f t="shared" si="8"/>
        <v>ITEM_DESC_310016</v>
      </c>
    </row>
    <row r="177" spans="1:8" ht="13.9" customHeight="1">
      <c r="A177" s="128">
        <f>C177*ID규칙_아이템_구분_단위+D177*ID규칙_아이템_타입_단위+COUNTIFS($C$4:C177,C177,$D$4:D177,D177)</f>
        <v>310017</v>
      </c>
      <c r="B177" s="129" t="s">
        <v>422</v>
      </c>
      <c r="C177" s="128">
        <v>3</v>
      </c>
      <c r="D177" s="128">
        <v>10</v>
      </c>
      <c r="E177" s="128">
        <v>9999</v>
      </c>
      <c r="F177" s="141" t="str">
        <f t="shared" si="6"/>
        <v>ITEM_NAME_310017</v>
      </c>
      <c r="G177" s="141" t="str">
        <f t="shared" si="7"/>
        <v>ITEM_ICON_310017</v>
      </c>
      <c r="H177" s="141" t="str">
        <f t="shared" si="8"/>
        <v>ITEM_DESC_310017</v>
      </c>
    </row>
    <row r="178" spans="1:8" ht="13.9" customHeight="1">
      <c r="A178" s="128">
        <f>C178*ID규칙_아이템_구분_단위+D178*ID규칙_아이템_타입_단위+COUNTIFS($C$4:C178,C178,$D$4:D178,D178)</f>
        <v>310018</v>
      </c>
      <c r="B178" s="129" t="s">
        <v>423</v>
      </c>
      <c r="C178" s="128">
        <v>3</v>
      </c>
      <c r="D178" s="128">
        <v>10</v>
      </c>
      <c r="E178" s="128">
        <v>9999</v>
      </c>
      <c r="F178" s="141" t="str">
        <f t="shared" si="6"/>
        <v>ITEM_NAME_310018</v>
      </c>
      <c r="G178" s="141" t="str">
        <f t="shared" si="7"/>
        <v>ITEM_ICON_310018</v>
      </c>
      <c r="H178" s="141" t="str">
        <f t="shared" si="8"/>
        <v>ITEM_DESC_310018</v>
      </c>
    </row>
    <row r="179" spans="1:8" ht="13.9" customHeight="1">
      <c r="A179" s="128">
        <f>C179*ID규칙_아이템_구분_단위+D179*ID규칙_아이템_타입_단위+COUNTIFS($C$4:C179,C179,$D$4:D179,D179)</f>
        <v>310019</v>
      </c>
      <c r="B179" s="129" t="s">
        <v>424</v>
      </c>
      <c r="C179" s="128">
        <v>3</v>
      </c>
      <c r="D179" s="128">
        <v>10</v>
      </c>
      <c r="E179" s="128">
        <v>9999</v>
      </c>
      <c r="F179" s="141" t="str">
        <f t="shared" si="6"/>
        <v>ITEM_NAME_310019</v>
      </c>
      <c r="G179" s="141" t="str">
        <f t="shared" si="7"/>
        <v>ITEM_ICON_310019</v>
      </c>
      <c r="H179" s="141" t="str">
        <f t="shared" si="8"/>
        <v>ITEM_DESC_310019</v>
      </c>
    </row>
    <row r="180" spans="1:8" ht="13.9" customHeight="1">
      <c r="A180" s="128">
        <f>C180*ID규칙_아이템_구분_단위+D180*ID규칙_아이템_타입_단위+COUNTIFS($C$4:C180,C180,$D$4:D180,D180)</f>
        <v>310020</v>
      </c>
      <c r="B180" s="129" t="s">
        <v>425</v>
      </c>
      <c r="C180" s="128">
        <v>3</v>
      </c>
      <c r="D180" s="128">
        <v>10</v>
      </c>
      <c r="E180" s="128">
        <v>9999</v>
      </c>
      <c r="F180" s="141" t="str">
        <f t="shared" si="6"/>
        <v>ITEM_NAME_310020</v>
      </c>
      <c r="G180" s="141" t="str">
        <f t="shared" si="7"/>
        <v>ITEM_ICON_310020</v>
      </c>
      <c r="H180" s="141" t="str">
        <f t="shared" si="8"/>
        <v>ITEM_DESC_310020</v>
      </c>
    </row>
    <row r="181" spans="1:8" ht="13.9" customHeight="1">
      <c r="A181" s="128">
        <f>C181*ID규칙_아이템_구분_단위+D181*ID규칙_아이템_타입_단위+COUNTIFS($C$4:C181,C181,$D$4:D181,D181)</f>
        <v>310021</v>
      </c>
      <c r="B181" s="129" t="s">
        <v>426</v>
      </c>
      <c r="C181" s="128">
        <v>3</v>
      </c>
      <c r="D181" s="128">
        <v>10</v>
      </c>
      <c r="E181" s="128">
        <v>9999</v>
      </c>
      <c r="F181" s="141" t="str">
        <f t="shared" si="6"/>
        <v>ITEM_NAME_310021</v>
      </c>
      <c r="G181" s="141" t="str">
        <f t="shared" si="7"/>
        <v>ITEM_ICON_310021</v>
      </c>
      <c r="H181" s="141" t="str">
        <f t="shared" si="8"/>
        <v>ITEM_DESC_310021</v>
      </c>
    </row>
    <row r="182" spans="1:8" ht="13.9" customHeight="1">
      <c r="A182" s="128">
        <f>C182*ID규칙_아이템_구분_단위+D182*ID규칙_아이템_타입_단위+COUNTIFS($C$4:C182,C182,$D$4:D182,D182)</f>
        <v>310022</v>
      </c>
      <c r="B182" s="129" t="s">
        <v>427</v>
      </c>
      <c r="C182" s="128">
        <v>3</v>
      </c>
      <c r="D182" s="128">
        <v>10</v>
      </c>
      <c r="E182" s="128">
        <v>9999</v>
      </c>
      <c r="F182" s="141" t="str">
        <f t="shared" si="6"/>
        <v>ITEM_NAME_310022</v>
      </c>
      <c r="G182" s="141" t="str">
        <f t="shared" si="7"/>
        <v>ITEM_ICON_310022</v>
      </c>
      <c r="H182" s="141" t="str">
        <f t="shared" si="8"/>
        <v>ITEM_DESC_310022</v>
      </c>
    </row>
    <row r="183" spans="1:8" ht="13.9" customHeight="1">
      <c r="A183" s="128">
        <f>C183*ID규칙_아이템_구분_단위+D183*ID규칙_아이템_타입_단위+COUNTIFS($C$4:C183,C183,$D$4:D183,D183)</f>
        <v>310023</v>
      </c>
      <c r="B183" s="129" t="s">
        <v>428</v>
      </c>
      <c r="C183" s="128">
        <v>3</v>
      </c>
      <c r="D183" s="128">
        <v>10</v>
      </c>
      <c r="E183" s="128">
        <v>9999</v>
      </c>
      <c r="F183" s="141" t="str">
        <f t="shared" si="6"/>
        <v>ITEM_NAME_310023</v>
      </c>
      <c r="G183" s="141" t="str">
        <f t="shared" si="7"/>
        <v>ITEM_ICON_310023</v>
      </c>
      <c r="H183" s="141" t="str">
        <f t="shared" si="8"/>
        <v>ITEM_DESC_310023</v>
      </c>
    </row>
    <row r="184" spans="1:8" ht="13.9" customHeight="1">
      <c r="A184" s="128">
        <f>C184*ID규칙_아이템_구분_단위+D184*ID규칙_아이템_타입_단위+COUNTIFS($C$4:C184,C184,$D$4:D184,D184)</f>
        <v>310024</v>
      </c>
      <c r="B184" s="129" t="s">
        <v>429</v>
      </c>
      <c r="C184" s="128">
        <v>3</v>
      </c>
      <c r="D184" s="128">
        <v>10</v>
      </c>
      <c r="E184" s="128">
        <v>9999</v>
      </c>
      <c r="F184" s="141" t="str">
        <f t="shared" si="6"/>
        <v>ITEM_NAME_310024</v>
      </c>
      <c r="G184" s="141" t="str">
        <f t="shared" si="7"/>
        <v>ITEM_ICON_310024</v>
      </c>
      <c r="H184" s="141" t="str">
        <f t="shared" si="8"/>
        <v>ITEM_DESC_310024</v>
      </c>
    </row>
    <row r="185" spans="1:8" ht="13.9" customHeight="1">
      <c r="A185" s="128">
        <f>C185*ID규칙_아이템_구분_단위+D185*ID규칙_아이템_타입_단위+COUNTIFS($C$4:C185,C185,$D$4:D185,D185)</f>
        <v>310025</v>
      </c>
      <c r="B185" s="129" t="s">
        <v>430</v>
      </c>
      <c r="C185" s="128">
        <v>3</v>
      </c>
      <c r="D185" s="128">
        <v>10</v>
      </c>
      <c r="E185" s="128">
        <v>9999</v>
      </c>
      <c r="F185" s="141" t="str">
        <f t="shared" si="6"/>
        <v>ITEM_NAME_310025</v>
      </c>
      <c r="G185" s="141" t="str">
        <f t="shared" si="7"/>
        <v>ITEM_ICON_310025</v>
      </c>
      <c r="H185" s="141" t="str">
        <f t="shared" si="8"/>
        <v>ITEM_DESC_310025</v>
      </c>
    </row>
    <row r="186" spans="1:8" ht="13.9" customHeight="1">
      <c r="A186" s="128">
        <f>C186*ID규칙_아이템_구분_단위+D186*ID규칙_아이템_타입_단위+COUNTIFS($C$4:C186,C186,$D$4:D186,D186)</f>
        <v>310026</v>
      </c>
      <c r="B186" s="129" t="s">
        <v>431</v>
      </c>
      <c r="C186" s="128">
        <v>3</v>
      </c>
      <c r="D186" s="128">
        <v>10</v>
      </c>
      <c r="E186" s="128">
        <v>9999</v>
      </c>
      <c r="F186" s="141" t="str">
        <f t="shared" si="6"/>
        <v>ITEM_NAME_310026</v>
      </c>
      <c r="G186" s="141" t="str">
        <f t="shared" si="7"/>
        <v>ITEM_ICON_310026</v>
      </c>
      <c r="H186" s="141" t="str">
        <f t="shared" si="8"/>
        <v>ITEM_DESC_310026</v>
      </c>
    </row>
    <row r="187" spans="1:8" ht="13.9" customHeight="1">
      <c r="A187" s="128">
        <f>C187*ID규칙_아이템_구분_단위+D187*ID규칙_아이템_타입_단위+COUNTIFS($C$4:C187,C187,$D$4:D187,D187)</f>
        <v>310027</v>
      </c>
      <c r="B187" s="129" t="s">
        <v>432</v>
      </c>
      <c r="C187" s="128">
        <v>3</v>
      </c>
      <c r="D187" s="128">
        <v>10</v>
      </c>
      <c r="E187" s="128">
        <v>9999</v>
      </c>
      <c r="F187" s="141" t="str">
        <f t="shared" si="6"/>
        <v>ITEM_NAME_310027</v>
      </c>
      <c r="G187" s="141" t="str">
        <f t="shared" si="7"/>
        <v>ITEM_ICON_310027</v>
      </c>
      <c r="H187" s="141" t="str">
        <f t="shared" si="8"/>
        <v>ITEM_DESC_310027</v>
      </c>
    </row>
    <row r="188" spans="1:8" ht="13.9" customHeight="1">
      <c r="A188" s="128">
        <f>C188*ID규칙_아이템_구분_단위+D188*ID규칙_아이템_타입_단위+COUNTIFS($C$4:C188,C188,$D$4:D188,D188)</f>
        <v>310028</v>
      </c>
      <c r="B188" s="129" t="s">
        <v>433</v>
      </c>
      <c r="C188" s="128">
        <v>3</v>
      </c>
      <c r="D188" s="128">
        <v>10</v>
      </c>
      <c r="E188" s="128">
        <v>9999</v>
      </c>
      <c r="F188" s="141" t="str">
        <f t="shared" si="6"/>
        <v>ITEM_NAME_310028</v>
      </c>
      <c r="G188" s="141" t="str">
        <f t="shared" si="7"/>
        <v>ITEM_ICON_310028</v>
      </c>
      <c r="H188" s="141" t="str">
        <f t="shared" si="8"/>
        <v>ITEM_DESC_310028</v>
      </c>
    </row>
    <row r="189" spans="1:8" ht="13.9" customHeight="1">
      <c r="A189" s="128">
        <f>C189*ID규칙_아이템_구분_단위+D189*ID규칙_아이템_타입_단위+COUNTIFS($C$4:C189,C189,$D$4:D189,D189)</f>
        <v>310029</v>
      </c>
      <c r="B189" s="129" t="s">
        <v>434</v>
      </c>
      <c r="C189" s="128">
        <v>3</v>
      </c>
      <c r="D189" s="128">
        <v>10</v>
      </c>
      <c r="E189" s="128">
        <v>9999</v>
      </c>
      <c r="F189" s="141" t="str">
        <f t="shared" si="6"/>
        <v>ITEM_NAME_310029</v>
      </c>
      <c r="G189" s="141" t="str">
        <f t="shared" si="7"/>
        <v>ITEM_ICON_310029</v>
      </c>
      <c r="H189" s="141" t="str">
        <f t="shared" si="8"/>
        <v>ITEM_DESC_310029</v>
      </c>
    </row>
    <row r="190" spans="1:8" ht="13.9" customHeight="1">
      <c r="A190" s="128">
        <f>C190*ID규칙_아이템_구분_단위+D190*ID규칙_아이템_타입_단위+COUNTIFS($C$4:C190,C190,$D$4:D190,D190)</f>
        <v>310030</v>
      </c>
      <c r="B190" s="129" t="s">
        <v>435</v>
      </c>
      <c r="C190" s="128">
        <v>3</v>
      </c>
      <c r="D190" s="128">
        <v>10</v>
      </c>
      <c r="E190" s="128">
        <v>9999</v>
      </c>
      <c r="F190" s="141" t="str">
        <f t="shared" si="6"/>
        <v>ITEM_NAME_310030</v>
      </c>
      <c r="G190" s="141" t="str">
        <f t="shared" si="7"/>
        <v>ITEM_ICON_310030</v>
      </c>
      <c r="H190" s="141" t="str">
        <f t="shared" si="8"/>
        <v>ITEM_DESC_310030</v>
      </c>
    </row>
    <row r="191" spans="1:8" ht="13.9" customHeight="1">
      <c r="A191" s="128">
        <f>C191*ID규칙_아이템_구분_단위+D191*ID규칙_아이템_타입_단위+COUNTIFS($C$4:C191,C191,$D$4:D191,D191)</f>
        <v>310031</v>
      </c>
      <c r="B191" s="129" t="s">
        <v>436</v>
      </c>
      <c r="C191" s="128">
        <v>3</v>
      </c>
      <c r="D191" s="128">
        <v>10</v>
      </c>
      <c r="E191" s="128">
        <v>9999</v>
      </c>
      <c r="F191" s="141" t="str">
        <f t="shared" si="6"/>
        <v>ITEM_NAME_310031</v>
      </c>
      <c r="G191" s="141" t="str">
        <f t="shared" si="7"/>
        <v>ITEM_ICON_310031</v>
      </c>
      <c r="H191" s="141" t="str">
        <f t="shared" si="8"/>
        <v>ITEM_DESC_310031</v>
      </c>
    </row>
    <row r="192" spans="1:8" ht="13.9" customHeight="1">
      <c r="A192" s="128">
        <f>C192*ID규칙_아이템_구분_단위+D192*ID규칙_아이템_타입_단위+COUNTIFS($C$4:C192,C192,$D$4:D192,D192)</f>
        <v>310032</v>
      </c>
      <c r="B192" s="129" t="s">
        <v>437</v>
      </c>
      <c r="C192" s="128">
        <v>3</v>
      </c>
      <c r="D192" s="128">
        <v>10</v>
      </c>
      <c r="E192" s="128">
        <v>9999</v>
      </c>
      <c r="F192" s="141" t="str">
        <f t="shared" si="6"/>
        <v>ITEM_NAME_310032</v>
      </c>
      <c r="G192" s="141" t="str">
        <f t="shared" si="7"/>
        <v>ITEM_ICON_310032</v>
      </c>
      <c r="H192" s="141" t="str">
        <f t="shared" si="8"/>
        <v>ITEM_DESC_310032</v>
      </c>
    </row>
    <row r="193" spans="1:8" ht="13.9" customHeight="1">
      <c r="A193" s="128">
        <f>C193*ID규칙_아이템_구분_단위+D193*ID규칙_아이템_타입_단위+COUNTIFS($C$4:C193,C193,$D$4:D193,D193)</f>
        <v>310033</v>
      </c>
      <c r="B193" s="129" t="s">
        <v>438</v>
      </c>
      <c r="C193" s="128">
        <v>3</v>
      </c>
      <c r="D193" s="128">
        <v>10</v>
      </c>
      <c r="E193" s="128">
        <v>9999</v>
      </c>
      <c r="F193" s="141" t="str">
        <f t="shared" si="6"/>
        <v>ITEM_NAME_310033</v>
      </c>
      <c r="G193" s="141" t="str">
        <f t="shared" si="7"/>
        <v>ITEM_ICON_310033</v>
      </c>
      <c r="H193" s="141" t="str">
        <f t="shared" si="8"/>
        <v>ITEM_DESC_310033</v>
      </c>
    </row>
    <row r="194" spans="1:8" ht="13.9" customHeight="1">
      <c r="A194" s="128">
        <f>C194*ID규칙_아이템_구분_단위+D194*ID규칙_아이템_타입_단위+COUNTIFS($C$4:C194,C194,$D$4:D194,D194)</f>
        <v>310034</v>
      </c>
      <c r="B194" s="129" t="s">
        <v>439</v>
      </c>
      <c r="C194" s="128">
        <v>3</v>
      </c>
      <c r="D194" s="128">
        <v>10</v>
      </c>
      <c r="E194" s="128">
        <v>9999</v>
      </c>
      <c r="F194" s="141" t="str">
        <f t="shared" si="6"/>
        <v>ITEM_NAME_310034</v>
      </c>
      <c r="G194" s="141" t="str">
        <f t="shared" si="7"/>
        <v>ITEM_ICON_310034</v>
      </c>
      <c r="H194" s="141" t="str">
        <f t="shared" si="8"/>
        <v>ITEM_DESC_310034</v>
      </c>
    </row>
    <row r="195" spans="1:8" ht="13.9" customHeight="1">
      <c r="A195" s="128">
        <f>C195*ID규칙_아이템_구분_단위+D195*ID규칙_아이템_타입_단위+COUNTIFS($C$4:C195,C195,$D$4:D195,D195)</f>
        <v>310035</v>
      </c>
      <c r="B195" s="129" t="s">
        <v>440</v>
      </c>
      <c r="C195" s="128">
        <v>3</v>
      </c>
      <c r="D195" s="128">
        <v>10</v>
      </c>
      <c r="E195" s="128">
        <v>9999</v>
      </c>
      <c r="F195" s="141" t="str">
        <f t="shared" si="6"/>
        <v>ITEM_NAME_310035</v>
      </c>
      <c r="G195" s="141" t="str">
        <f t="shared" si="7"/>
        <v>ITEM_ICON_310035</v>
      </c>
      <c r="H195" s="141" t="str">
        <f t="shared" si="8"/>
        <v>ITEM_DESC_310035</v>
      </c>
    </row>
    <row r="196" spans="1:8" ht="13.9" customHeight="1">
      <c r="A196" s="128">
        <f>C196*ID규칙_아이템_구분_단위+D196*ID규칙_아이템_타입_단위+COUNTIFS($C$4:C196,C196,$D$4:D196,D196)</f>
        <v>310036</v>
      </c>
      <c r="B196" s="129" t="s">
        <v>441</v>
      </c>
      <c r="C196" s="128">
        <v>3</v>
      </c>
      <c r="D196" s="128">
        <v>10</v>
      </c>
      <c r="E196" s="128">
        <v>9999</v>
      </c>
      <c r="F196" s="141" t="str">
        <f t="shared" si="6"/>
        <v>ITEM_NAME_310036</v>
      </c>
      <c r="G196" s="141" t="str">
        <f t="shared" si="7"/>
        <v>ITEM_ICON_310036</v>
      </c>
      <c r="H196" s="141" t="str">
        <f t="shared" si="8"/>
        <v>ITEM_DESC_310036</v>
      </c>
    </row>
    <row r="197" spans="1:8" ht="13.9" customHeight="1">
      <c r="A197" s="128">
        <f>C197*ID규칙_아이템_구분_단위+D197*ID규칙_아이템_타입_단위+COUNTIFS($C$4:C197,C197,$D$4:D197,D197)</f>
        <v>310037</v>
      </c>
      <c r="B197" s="129" t="s">
        <v>442</v>
      </c>
      <c r="C197" s="128">
        <v>3</v>
      </c>
      <c r="D197" s="128">
        <v>10</v>
      </c>
      <c r="E197" s="128">
        <v>9999</v>
      </c>
      <c r="F197" s="141" t="str">
        <f t="shared" ref="F197:F260" si="9">"ITEM_NAME_"&amp;A197</f>
        <v>ITEM_NAME_310037</v>
      </c>
      <c r="G197" s="141" t="str">
        <f t="shared" ref="G197:G260" si="10">"ITEM_ICON_"&amp;A197</f>
        <v>ITEM_ICON_310037</v>
      </c>
      <c r="H197" s="141" t="str">
        <f t="shared" ref="H197:H260" si="11">"ITEM_DESC_"&amp;A197</f>
        <v>ITEM_DESC_310037</v>
      </c>
    </row>
    <row r="198" spans="1:8" ht="13.9" customHeight="1">
      <c r="A198" s="128">
        <f>C198*ID규칙_아이템_구분_단위+D198*ID규칙_아이템_타입_단위+COUNTIFS($C$4:C198,C198,$D$4:D198,D198)</f>
        <v>310038</v>
      </c>
      <c r="B198" s="129" t="s">
        <v>443</v>
      </c>
      <c r="C198" s="128">
        <v>3</v>
      </c>
      <c r="D198" s="128">
        <v>10</v>
      </c>
      <c r="E198" s="128">
        <v>9999</v>
      </c>
      <c r="F198" s="141" t="str">
        <f t="shared" si="9"/>
        <v>ITEM_NAME_310038</v>
      </c>
      <c r="G198" s="141" t="str">
        <f t="shared" si="10"/>
        <v>ITEM_ICON_310038</v>
      </c>
      <c r="H198" s="141" t="str">
        <f t="shared" si="11"/>
        <v>ITEM_DESC_310038</v>
      </c>
    </row>
    <row r="199" spans="1:8" ht="13.9" customHeight="1">
      <c r="A199" s="128">
        <f>C199*ID규칙_아이템_구분_단위+D199*ID규칙_아이템_타입_단위+COUNTIFS($C$4:C199,C199,$D$4:D199,D199)</f>
        <v>310039</v>
      </c>
      <c r="B199" s="129" t="s">
        <v>444</v>
      </c>
      <c r="C199" s="128">
        <v>3</v>
      </c>
      <c r="D199" s="128">
        <v>10</v>
      </c>
      <c r="E199" s="128">
        <v>9999</v>
      </c>
      <c r="F199" s="141" t="str">
        <f t="shared" si="9"/>
        <v>ITEM_NAME_310039</v>
      </c>
      <c r="G199" s="141" t="str">
        <f t="shared" si="10"/>
        <v>ITEM_ICON_310039</v>
      </c>
      <c r="H199" s="141" t="str">
        <f t="shared" si="11"/>
        <v>ITEM_DESC_310039</v>
      </c>
    </row>
    <row r="200" spans="1:8" ht="13.9" customHeight="1">
      <c r="A200" s="128">
        <f>C200*ID규칙_아이템_구분_단위+D200*ID규칙_아이템_타입_단위+COUNTIFS($C$4:C200,C200,$D$4:D200,D200)</f>
        <v>310040</v>
      </c>
      <c r="B200" s="129" t="s">
        <v>445</v>
      </c>
      <c r="C200" s="128">
        <v>3</v>
      </c>
      <c r="D200" s="128">
        <v>10</v>
      </c>
      <c r="E200" s="128">
        <v>9999</v>
      </c>
      <c r="F200" s="141" t="str">
        <f t="shared" si="9"/>
        <v>ITEM_NAME_310040</v>
      </c>
      <c r="G200" s="141" t="str">
        <f t="shared" si="10"/>
        <v>ITEM_ICON_310040</v>
      </c>
      <c r="H200" s="141" t="str">
        <f t="shared" si="11"/>
        <v>ITEM_DESC_310040</v>
      </c>
    </row>
    <row r="201" spans="1:8" ht="13.9" customHeight="1">
      <c r="A201" s="128">
        <f>C201*ID규칙_아이템_구분_단위+D201*ID규칙_아이템_타입_단위+COUNTIFS($C$4:C201,C201,$D$4:D201,D201)</f>
        <v>311001</v>
      </c>
      <c r="B201" s="129" t="s">
        <v>446</v>
      </c>
      <c r="C201" s="128">
        <v>3</v>
      </c>
      <c r="D201" s="128">
        <v>11</v>
      </c>
      <c r="E201" s="128">
        <v>9999</v>
      </c>
      <c r="F201" s="141" t="str">
        <f t="shared" si="9"/>
        <v>ITEM_NAME_311001</v>
      </c>
      <c r="G201" s="141" t="str">
        <f t="shared" si="10"/>
        <v>ITEM_ICON_311001</v>
      </c>
      <c r="H201" s="141" t="str">
        <f t="shared" si="11"/>
        <v>ITEM_DESC_311001</v>
      </c>
    </row>
    <row r="202" spans="1:8" ht="13.9" customHeight="1">
      <c r="A202" s="128">
        <f>C202*ID규칙_아이템_구분_단위+D202*ID규칙_아이템_타입_단위+COUNTIFS($C$4:C202,C202,$D$4:D202,D202)</f>
        <v>311002</v>
      </c>
      <c r="B202" s="129" t="s">
        <v>447</v>
      </c>
      <c r="C202" s="128">
        <v>3</v>
      </c>
      <c r="D202" s="128">
        <v>11</v>
      </c>
      <c r="E202" s="128">
        <v>9999</v>
      </c>
      <c r="F202" s="141" t="str">
        <f t="shared" si="9"/>
        <v>ITEM_NAME_311002</v>
      </c>
      <c r="G202" s="141" t="str">
        <f t="shared" si="10"/>
        <v>ITEM_ICON_311002</v>
      </c>
      <c r="H202" s="141" t="str">
        <f t="shared" si="11"/>
        <v>ITEM_DESC_311002</v>
      </c>
    </row>
    <row r="203" spans="1:8" ht="13.9" customHeight="1">
      <c r="A203" s="128">
        <f>C203*ID규칙_아이템_구분_단위+D203*ID규칙_아이템_타입_단위+COUNTIFS($C$4:C203,C203,$D$4:D203,D203)</f>
        <v>311003</v>
      </c>
      <c r="B203" s="129" t="s">
        <v>448</v>
      </c>
      <c r="C203" s="128">
        <v>3</v>
      </c>
      <c r="D203" s="128">
        <v>11</v>
      </c>
      <c r="E203" s="128">
        <v>9999</v>
      </c>
      <c r="F203" s="141" t="str">
        <f t="shared" si="9"/>
        <v>ITEM_NAME_311003</v>
      </c>
      <c r="G203" s="141" t="str">
        <f t="shared" si="10"/>
        <v>ITEM_ICON_311003</v>
      </c>
      <c r="H203" s="141" t="str">
        <f t="shared" si="11"/>
        <v>ITEM_DESC_311003</v>
      </c>
    </row>
    <row r="204" spans="1:8" ht="13.9" customHeight="1">
      <c r="A204" s="128">
        <f>C204*ID규칙_아이템_구분_단위+D204*ID규칙_아이템_타입_단위+COUNTIFS($C$4:C204,C204,$D$4:D204,D204)</f>
        <v>311004</v>
      </c>
      <c r="B204" s="129" t="s">
        <v>449</v>
      </c>
      <c r="C204" s="128">
        <v>3</v>
      </c>
      <c r="D204" s="128">
        <v>11</v>
      </c>
      <c r="E204" s="128">
        <v>9999</v>
      </c>
      <c r="F204" s="141" t="str">
        <f t="shared" si="9"/>
        <v>ITEM_NAME_311004</v>
      </c>
      <c r="G204" s="141" t="str">
        <f t="shared" si="10"/>
        <v>ITEM_ICON_311004</v>
      </c>
      <c r="H204" s="141" t="str">
        <f t="shared" si="11"/>
        <v>ITEM_DESC_311004</v>
      </c>
    </row>
    <row r="205" spans="1:8" ht="13.9" customHeight="1">
      <c r="A205" s="128">
        <f>C205*ID규칙_아이템_구분_단위+D205*ID규칙_아이템_타입_단위+COUNTIFS($C$4:C205,C205,$D$4:D205,D205)</f>
        <v>311005</v>
      </c>
      <c r="B205" s="129" t="s">
        <v>450</v>
      </c>
      <c r="C205" s="128">
        <v>3</v>
      </c>
      <c r="D205" s="128">
        <v>11</v>
      </c>
      <c r="E205" s="128">
        <v>9999</v>
      </c>
      <c r="F205" s="141" t="str">
        <f t="shared" si="9"/>
        <v>ITEM_NAME_311005</v>
      </c>
      <c r="G205" s="141" t="str">
        <f t="shared" si="10"/>
        <v>ITEM_ICON_311005</v>
      </c>
      <c r="H205" s="141" t="str">
        <f t="shared" si="11"/>
        <v>ITEM_DESC_311005</v>
      </c>
    </row>
    <row r="206" spans="1:8" ht="13.9" customHeight="1">
      <c r="A206" s="128">
        <f>C206*ID규칙_아이템_구분_단위+D206*ID규칙_아이템_타입_단위+COUNTIFS($C$4:C206,C206,$D$4:D206,D206)</f>
        <v>311006</v>
      </c>
      <c r="B206" s="129" t="s">
        <v>451</v>
      </c>
      <c r="C206" s="128">
        <v>3</v>
      </c>
      <c r="D206" s="128">
        <v>11</v>
      </c>
      <c r="E206" s="128">
        <v>9999</v>
      </c>
      <c r="F206" s="141" t="str">
        <f t="shared" si="9"/>
        <v>ITEM_NAME_311006</v>
      </c>
      <c r="G206" s="141" t="str">
        <f t="shared" si="10"/>
        <v>ITEM_ICON_311006</v>
      </c>
      <c r="H206" s="141" t="str">
        <f t="shared" si="11"/>
        <v>ITEM_DESC_311006</v>
      </c>
    </row>
    <row r="207" spans="1:8" ht="13.9" customHeight="1">
      <c r="A207" s="128">
        <f>C207*ID규칙_아이템_구분_단위+D207*ID규칙_아이템_타입_단위+COUNTIFS($C$4:C207,C207,$D$4:D207,D207)</f>
        <v>311007</v>
      </c>
      <c r="B207" s="129" t="s">
        <v>452</v>
      </c>
      <c r="C207" s="128">
        <v>3</v>
      </c>
      <c r="D207" s="128">
        <v>11</v>
      </c>
      <c r="E207" s="128">
        <v>9999</v>
      </c>
      <c r="F207" s="141" t="str">
        <f t="shared" si="9"/>
        <v>ITEM_NAME_311007</v>
      </c>
      <c r="G207" s="141" t="str">
        <f t="shared" si="10"/>
        <v>ITEM_ICON_311007</v>
      </c>
      <c r="H207" s="141" t="str">
        <f t="shared" si="11"/>
        <v>ITEM_DESC_311007</v>
      </c>
    </row>
    <row r="208" spans="1:8" ht="13.9" customHeight="1">
      <c r="A208" s="128">
        <f>C208*ID규칙_아이템_구분_단위+D208*ID규칙_아이템_타입_단위+COUNTIFS($C$4:C208,C208,$D$4:D208,D208)</f>
        <v>311008</v>
      </c>
      <c r="B208" s="129" t="s">
        <v>453</v>
      </c>
      <c r="C208" s="128">
        <v>3</v>
      </c>
      <c r="D208" s="128">
        <v>11</v>
      </c>
      <c r="E208" s="128">
        <v>9999</v>
      </c>
      <c r="F208" s="141" t="str">
        <f t="shared" si="9"/>
        <v>ITEM_NAME_311008</v>
      </c>
      <c r="G208" s="141" t="str">
        <f t="shared" si="10"/>
        <v>ITEM_ICON_311008</v>
      </c>
      <c r="H208" s="141" t="str">
        <f t="shared" si="11"/>
        <v>ITEM_DESC_311008</v>
      </c>
    </row>
    <row r="209" spans="1:8" ht="13.9" customHeight="1">
      <c r="A209" s="128">
        <f>C209*ID규칙_아이템_구분_단위+D209*ID규칙_아이템_타입_단위+COUNTIFS($C$4:C209,C209,$D$4:D209,D209)</f>
        <v>311009</v>
      </c>
      <c r="B209" s="129" t="s">
        <v>454</v>
      </c>
      <c r="C209" s="128">
        <v>3</v>
      </c>
      <c r="D209" s="128">
        <v>11</v>
      </c>
      <c r="E209" s="128">
        <v>9999</v>
      </c>
      <c r="F209" s="141" t="str">
        <f t="shared" si="9"/>
        <v>ITEM_NAME_311009</v>
      </c>
      <c r="G209" s="141" t="str">
        <f t="shared" si="10"/>
        <v>ITEM_ICON_311009</v>
      </c>
      <c r="H209" s="141" t="str">
        <f t="shared" si="11"/>
        <v>ITEM_DESC_311009</v>
      </c>
    </row>
    <row r="210" spans="1:8" ht="13.9" customHeight="1">
      <c r="A210" s="128">
        <f>C210*ID규칙_아이템_구분_단위+D210*ID규칙_아이템_타입_단위+COUNTIFS($C$4:C210,C210,$D$4:D210,D210)</f>
        <v>311010</v>
      </c>
      <c r="B210" s="129" t="s">
        <v>455</v>
      </c>
      <c r="C210" s="128">
        <v>3</v>
      </c>
      <c r="D210" s="128">
        <v>11</v>
      </c>
      <c r="E210" s="128">
        <v>9999</v>
      </c>
      <c r="F210" s="141" t="str">
        <f t="shared" si="9"/>
        <v>ITEM_NAME_311010</v>
      </c>
      <c r="G210" s="141" t="str">
        <f t="shared" si="10"/>
        <v>ITEM_ICON_311010</v>
      </c>
      <c r="H210" s="141" t="str">
        <f t="shared" si="11"/>
        <v>ITEM_DESC_311010</v>
      </c>
    </row>
    <row r="211" spans="1:8" ht="13.9" customHeight="1">
      <c r="A211" s="128">
        <f>C211*ID규칙_아이템_구분_단위+D211*ID규칙_아이템_타입_단위+COUNTIFS($C$4:C211,C211,$D$4:D211,D211)</f>
        <v>311011</v>
      </c>
      <c r="B211" s="129" t="s">
        <v>456</v>
      </c>
      <c r="C211" s="128">
        <v>3</v>
      </c>
      <c r="D211" s="128">
        <v>11</v>
      </c>
      <c r="E211" s="128">
        <v>9999</v>
      </c>
      <c r="F211" s="141" t="str">
        <f t="shared" si="9"/>
        <v>ITEM_NAME_311011</v>
      </c>
      <c r="G211" s="141" t="str">
        <f t="shared" si="10"/>
        <v>ITEM_ICON_311011</v>
      </c>
      <c r="H211" s="141" t="str">
        <f t="shared" si="11"/>
        <v>ITEM_DESC_311011</v>
      </c>
    </row>
    <row r="212" spans="1:8" ht="13.9" customHeight="1">
      <c r="A212" s="128">
        <f>C212*ID규칙_아이템_구분_단위+D212*ID규칙_아이템_타입_단위+COUNTIFS($C$4:C212,C212,$D$4:D212,D212)</f>
        <v>311012</v>
      </c>
      <c r="B212" s="129" t="s">
        <v>457</v>
      </c>
      <c r="C212" s="128">
        <v>3</v>
      </c>
      <c r="D212" s="128">
        <v>11</v>
      </c>
      <c r="E212" s="128">
        <v>9999</v>
      </c>
      <c r="F212" s="141" t="str">
        <f t="shared" si="9"/>
        <v>ITEM_NAME_311012</v>
      </c>
      <c r="G212" s="141" t="str">
        <f t="shared" si="10"/>
        <v>ITEM_ICON_311012</v>
      </c>
      <c r="H212" s="141" t="str">
        <f t="shared" si="11"/>
        <v>ITEM_DESC_311012</v>
      </c>
    </row>
    <row r="213" spans="1:8" ht="13.9" customHeight="1">
      <c r="A213" s="128">
        <f>C213*ID규칙_아이템_구분_단위+D213*ID규칙_아이템_타입_단위+COUNTIFS($C$4:C213,C213,$D$4:D213,D213)</f>
        <v>311013</v>
      </c>
      <c r="B213" s="129" t="s">
        <v>458</v>
      </c>
      <c r="C213" s="128">
        <v>3</v>
      </c>
      <c r="D213" s="128">
        <v>11</v>
      </c>
      <c r="E213" s="128">
        <v>9999</v>
      </c>
      <c r="F213" s="141" t="str">
        <f t="shared" si="9"/>
        <v>ITEM_NAME_311013</v>
      </c>
      <c r="G213" s="141" t="str">
        <f t="shared" si="10"/>
        <v>ITEM_ICON_311013</v>
      </c>
      <c r="H213" s="141" t="str">
        <f t="shared" si="11"/>
        <v>ITEM_DESC_311013</v>
      </c>
    </row>
    <row r="214" spans="1:8" ht="13.9" customHeight="1">
      <c r="A214" s="128">
        <f>C214*ID규칙_아이템_구분_단위+D214*ID규칙_아이템_타입_단위+COUNTIFS($C$4:C214,C214,$D$4:D214,D214)</f>
        <v>311014</v>
      </c>
      <c r="B214" s="129" t="s">
        <v>459</v>
      </c>
      <c r="C214" s="128">
        <v>3</v>
      </c>
      <c r="D214" s="128">
        <v>11</v>
      </c>
      <c r="E214" s="128">
        <v>9999</v>
      </c>
      <c r="F214" s="141" t="str">
        <f t="shared" si="9"/>
        <v>ITEM_NAME_311014</v>
      </c>
      <c r="G214" s="141" t="str">
        <f t="shared" si="10"/>
        <v>ITEM_ICON_311014</v>
      </c>
      <c r="H214" s="141" t="str">
        <f t="shared" si="11"/>
        <v>ITEM_DESC_311014</v>
      </c>
    </row>
    <row r="215" spans="1:8" ht="13.9" customHeight="1">
      <c r="A215" s="128">
        <f>C215*ID규칙_아이템_구분_단위+D215*ID규칙_아이템_타입_단위+COUNTIFS($C$4:C215,C215,$D$4:D215,D215)</f>
        <v>311015</v>
      </c>
      <c r="B215" s="129" t="s">
        <v>460</v>
      </c>
      <c r="C215" s="128">
        <v>3</v>
      </c>
      <c r="D215" s="128">
        <v>11</v>
      </c>
      <c r="E215" s="128">
        <v>9999</v>
      </c>
      <c r="F215" s="141" t="str">
        <f t="shared" si="9"/>
        <v>ITEM_NAME_311015</v>
      </c>
      <c r="G215" s="141" t="str">
        <f t="shared" si="10"/>
        <v>ITEM_ICON_311015</v>
      </c>
      <c r="H215" s="141" t="str">
        <f t="shared" si="11"/>
        <v>ITEM_DESC_311015</v>
      </c>
    </row>
    <row r="216" spans="1:8" ht="13.9" customHeight="1">
      <c r="A216" s="128">
        <f>C216*ID규칙_아이템_구분_단위+D216*ID규칙_아이템_타입_단위+COUNTIFS($C$4:C216,C216,$D$4:D216,D216)</f>
        <v>311016</v>
      </c>
      <c r="B216" s="129" t="s">
        <v>461</v>
      </c>
      <c r="C216" s="128">
        <v>3</v>
      </c>
      <c r="D216" s="128">
        <v>11</v>
      </c>
      <c r="E216" s="128">
        <v>9999</v>
      </c>
      <c r="F216" s="141" t="str">
        <f t="shared" si="9"/>
        <v>ITEM_NAME_311016</v>
      </c>
      <c r="G216" s="141" t="str">
        <f t="shared" si="10"/>
        <v>ITEM_ICON_311016</v>
      </c>
      <c r="H216" s="141" t="str">
        <f t="shared" si="11"/>
        <v>ITEM_DESC_311016</v>
      </c>
    </row>
    <row r="217" spans="1:8" ht="13.9" customHeight="1">
      <c r="A217" s="128">
        <f>C217*ID규칙_아이템_구분_단위+D217*ID규칙_아이템_타입_단위+COUNTIFS($C$4:C217,C217,$D$4:D217,D217)</f>
        <v>311017</v>
      </c>
      <c r="B217" s="129" t="s">
        <v>462</v>
      </c>
      <c r="C217" s="128">
        <v>3</v>
      </c>
      <c r="D217" s="128">
        <v>11</v>
      </c>
      <c r="E217" s="128">
        <v>9999</v>
      </c>
      <c r="F217" s="141" t="str">
        <f t="shared" si="9"/>
        <v>ITEM_NAME_311017</v>
      </c>
      <c r="G217" s="141" t="str">
        <f t="shared" si="10"/>
        <v>ITEM_ICON_311017</v>
      </c>
      <c r="H217" s="141" t="str">
        <f t="shared" si="11"/>
        <v>ITEM_DESC_311017</v>
      </c>
    </row>
    <row r="218" spans="1:8" ht="13.9" customHeight="1">
      <c r="A218" s="128">
        <f>C218*ID규칙_아이템_구분_단위+D218*ID규칙_아이템_타입_단위+COUNTIFS($C$4:C218,C218,$D$4:D218,D218)</f>
        <v>311018</v>
      </c>
      <c r="B218" s="129" t="s">
        <v>463</v>
      </c>
      <c r="C218" s="128">
        <v>3</v>
      </c>
      <c r="D218" s="128">
        <v>11</v>
      </c>
      <c r="E218" s="128">
        <v>9999</v>
      </c>
      <c r="F218" s="141" t="str">
        <f t="shared" si="9"/>
        <v>ITEM_NAME_311018</v>
      </c>
      <c r="G218" s="141" t="str">
        <f t="shared" si="10"/>
        <v>ITEM_ICON_311018</v>
      </c>
      <c r="H218" s="141" t="str">
        <f t="shared" si="11"/>
        <v>ITEM_DESC_311018</v>
      </c>
    </row>
    <row r="219" spans="1:8" ht="13.9" customHeight="1">
      <c r="A219" s="128">
        <f>C219*ID규칙_아이템_구분_단위+D219*ID규칙_아이템_타입_단위+COUNTIFS($C$4:C219,C219,$D$4:D219,D219)</f>
        <v>311019</v>
      </c>
      <c r="B219" s="129" t="s">
        <v>464</v>
      </c>
      <c r="C219" s="128">
        <v>3</v>
      </c>
      <c r="D219" s="128">
        <v>11</v>
      </c>
      <c r="E219" s="128">
        <v>9999</v>
      </c>
      <c r="F219" s="141" t="str">
        <f t="shared" si="9"/>
        <v>ITEM_NAME_311019</v>
      </c>
      <c r="G219" s="141" t="str">
        <f t="shared" si="10"/>
        <v>ITEM_ICON_311019</v>
      </c>
      <c r="H219" s="141" t="str">
        <f t="shared" si="11"/>
        <v>ITEM_DESC_311019</v>
      </c>
    </row>
    <row r="220" spans="1:8" ht="13.9" customHeight="1">
      <c r="A220" s="128">
        <f>C220*ID규칙_아이템_구분_단위+D220*ID규칙_아이템_타입_단위+COUNTIFS($C$4:C220,C220,$D$4:D220,D220)</f>
        <v>311020</v>
      </c>
      <c r="B220" s="129" t="s">
        <v>465</v>
      </c>
      <c r="C220" s="128">
        <v>3</v>
      </c>
      <c r="D220" s="128">
        <v>11</v>
      </c>
      <c r="E220" s="128">
        <v>9999</v>
      </c>
      <c r="F220" s="141" t="str">
        <f t="shared" si="9"/>
        <v>ITEM_NAME_311020</v>
      </c>
      <c r="G220" s="141" t="str">
        <f t="shared" si="10"/>
        <v>ITEM_ICON_311020</v>
      </c>
      <c r="H220" s="141" t="str">
        <f t="shared" si="11"/>
        <v>ITEM_DESC_311020</v>
      </c>
    </row>
    <row r="221" spans="1:8" ht="13.9" customHeight="1">
      <c r="A221" s="128">
        <f>C221*ID규칙_아이템_구분_단위+D221*ID규칙_아이템_타입_단위+COUNTIFS($C$4:C221,C221,$D$4:D221,D221)</f>
        <v>311021</v>
      </c>
      <c r="B221" s="129" t="s">
        <v>466</v>
      </c>
      <c r="C221" s="128">
        <v>3</v>
      </c>
      <c r="D221" s="128">
        <v>11</v>
      </c>
      <c r="E221" s="128">
        <v>9999</v>
      </c>
      <c r="F221" s="141" t="str">
        <f t="shared" si="9"/>
        <v>ITEM_NAME_311021</v>
      </c>
      <c r="G221" s="141" t="str">
        <f t="shared" si="10"/>
        <v>ITEM_ICON_311021</v>
      </c>
      <c r="H221" s="141" t="str">
        <f t="shared" si="11"/>
        <v>ITEM_DESC_311021</v>
      </c>
    </row>
    <row r="222" spans="1:8" ht="13.9" customHeight="1">
      <c r="A222" s="128">
        <f>C222*ID규칙_아이템_구분_단위+D222*ID규칙_아이템_타입_단위+COUNTIFS($C$4:C222,C222,$D$4:D222,D222)</f>
        <v>311022</v>
      </c>
      <c r="B222" s="129" t="s">
        <v>467</v>
      </c>
      <c r="C222" s="128">
        <v>3</v>
      </c>
      <c r="D222" s="128">
        <v>11</v>
      </c>
      <c r="E222" s="128">
        <v>9999</v>
      </c>
      <c r="F222" s="141" t="str">
        <f t="shared" si="9"/>
        <v>ITEM_NAME_311022</v>
      </c>
      <c r="G222" s="141" t="str">
        <f t="shared" si="10"/>
        <v>ITEM_ICON_311022</v>
      </c>
      <c r="H222" s="141" t="str">
        <f t="shared" si="11"/>
        <v>ITEM_DESC_311022</v>
      </c>
    </row>
    <row r="223" spans="1:8" ht="13.9" customHeight="1">
      <c r="A223" s="128">
        <f>C223*ID규칙_아이템_구분_단위+D223*ID규칙_아이템_타입_단위+COUNTIFS($C$4:C223,C223,$D$4:D223,D223)</f>
        <v>311023</v>
      </c>
      <c r="B223" s="129" t="s">
        <v>468</v>
      </c>
      <c r="C223" s="128">
        <v>3</v>
      </c>
      <c r="D223" s="128">
        <v>11</v>
      </c>
      <c r="E223" s="128">
        <v>9999</v>
      </c>
      <c r="F223" s="141" t="str">
        <f t="shared" si="9"/>
        <v>ITEM_NAME_311023</v>
      </c>
      <c r="G223" s="141" t="str">
        <f t="shared" si="10"/>
        <v>ITEM_ICON_311023</v>
      </c>
      <c r="H223" s="141" t="str">
        <f t="shared" si="11"/>
        <v>ITEM_DESC_311023</v>
      </c>
    </row>
    <row r="224" spans="1:8" ht="13.9" customHeight="1">
      <c r="A224" s="128">
        <f>C224*ID규칙_아이템_구분_단위+D224*ID규칙_아이템_타입_단위+COUNTIFS($C$4:C224,C224,$D$4:D224,D224)</f>
        <v>311024</v>
      </c>
      <c r="B224" s="129" t="s">
        <v>469</v>
      </c>
      <c r="C224" s="128">
        <v>3</v>
      </c>
      <c r="D224" s="128">
        <v>11</v>
      </c>
      <c r="E224" s="128">
        <v>9999</v>
      </c>
      <c r="F224" s="141" t="str">
        <f t="shared" si="9"/>
        <v>ITEM_NAME_311024</v>
      </c>
      <c r="G224" s="141" t="str">
        <f t="shared" si="10"/>
        <v>ITEM_ICON_311024</v>
      </c>
      <c r="H224" s="141" t="str">
        <f t="shared" si="11"/>
        <v>ITEM_DESC_311024</v>
      </c>
    </row>
    <row r="225" spans="1:8" ht="13.9" customHeight="1">
      <c r="A225" s="128">
        <f>C225*ID규칙_아이템_구분_단위+D225*ID규칙_아이템_타입_단위+COUNTIFS($C$4:C225,C225,$D$4:D225,D225)</f>
        <v>311025</v>
      </c>
      <c r="B225" s="129" t="s">
        <v>470</v>
      </c>
      <c r="C225" s="128">
        <v>3</v>
      </c>
      <c r="D225" s="128">
        <v>11</v>
      </c>
      <c r="E225" s="128">
        <v>9999</v>
      </c>
      <c r="F225" s="141" t="str">
        <f t="shared" si="9"/>
        <v>ITEM_NAME_311025</v>
      </c>
      <c r="G225" s="141" t="str">
        <f t="shared" si="10"/>
        <v>ITEM_ICON_311025</v>
      </c>
      <c r="H225" s="141" t="str">
        <f t="shared" si="11"/>
        <v>ITEM_DESC_311025</v>
      </c>
    </row>
    <row r="226" spans="1:8" ht="13.9" customHeight="1">
      <c r="A226" s="128">
        <f>C226*ID규칙_아이템_구분_단위+D226*ID규칙_아이템_타입_단위+COUNTIFS($C$4:C226,C226,$D$4:D226,D226)</f>
        <v>311026</v>
      </c>
      <c r="B226" s="129" t="s">
        <v>471</v>
      </c>
      <c r="C226" s="128">
        <v>3</v>
      </c>
      <c r="D226" s="128">
        <v>11</v>
      </c>
      <c r="E226" s="128">
        <v>9999</v>
      </c>
      <c r="F226" s="141" t="str">
        <f t="shared" si="9"/>
        <v>ITEM_NAME_311026</v>
      </c>
      <c r="G226" s="141" t="str">
        <f t="shared" si="10"/>
        <v>ITEM_ICON_311026</v>
      </c>
      <c r="H226" s="141" t="str">
        <f t="shared" si="11"/>
        <v>ITEM_DESC_311026</v>
      </c>
    </row>
    <row r="227" spans="1:8" ht="13.9" customHeight="1">
      <c r="A227" s="128">
        <f>C227*ID규칙_아이템_구분_단위+D227*ID규칙_아이템_타입_단위+COUNTIFS($C$4:C227,C227,$D$4:D227,D227)</f>
        <v>311027</v>
      </c>
      <c r="B227" s="129" t="s">
        <v>472</v>
      </c>
      <c r="C227" s="128">
        <v>3</v>
      </c>
      <c r="D227" s="128">
        <v>11</v>
      </c>
      <c r="E227" s="128">
        <v>9999</v>
      </c>
      <c r="F227" s="141" t="str">
        <f t="shared" si="9"/>
        <v>ITEM_NAME_311027</v>
      </c>
      <c r="G227" s="141" t="str">
        <f t="shared" si="10"/>
        <v>ITEM_ICON_311027</v>
      </c>
      <c r="H227" s="141" t="str">
        <f t="shared" si="11"/>
        <v>ITEM_DESC_311027</v>
      </c>
    </row>
    <row r="228" spans="1:8" ht="13.9" customHeight="1">
      <c r="A228" s="128">
        <f>C228*ID규칙_아이템_구분_단위+D228*ID규칙_아이템_타입_단위+COUNTIFS($C$4:C228,C228,$D$4:D228,D228)</f>
        <v>311028</v>
      </c>
      <c r="B228" s="129" t="s">
        <v>473</v>
      </c>
      <c r="C228" s="128">
        <v>3</v>
      </c>
      <c r="D228" s="128">
        <v>11</v>
      </c>
      <c r="E228" s="128">
        <v>9999</v>
      </c>
      <c r="F228" s="141" t="str">
        <f t="shared" si="9"/>
        <v>ITEM_NAME_311028</v>
      </c>
      <c r="G228" s="141" t="str">
        <f t="shared" si="10"/>
        <v>ITEM_ICON_311028</v>
      </c>
      <c r="H228" s="141" t="str">
        <f t="shared" si="11"/>
        <v>ITEM_DESC_311028</v>
      </c>
    </row>
    <row r="229" spans="1:8" ht="13.9" customHeight="1">
      <c r="A229" s="128">
        <f>C229*ID규칙_아이템_구분_단위+D229*ID규칙_아이템_타입_단위+COUNTIFS($C$4:C229,C229,$D$4:D229,D229)</f>
        <v>311029</v>
      </c>
      <c r="B229" s="129" t="s">
        <v>474</v>
      </c>
      <c r="C229" s="128">
        <v>3</v>
      </c>
      <c r="D229" s="128">
        <v>11</v>
      </c>
      <c r="E229" s="128">
        <v>9999</v>
      </c>
      <c r="F229" s="141" t="str">
        <f t="shared" si="9"/>
        <v>ITEM_NAME_311029</v>
      </c>
      <c r="G229" s="141" t="str">
        <f t="shared" si="10"/>
        <v>ITEM_ICON_311029</v>
      </c>
      <c r="H229" s="141" t="str">
        <f t="shared" si="11"/>
        <v>ITEM_DESC_311029</v>
      </c>
    </row>
    <row r="230" spans="1:8" ht="13.9" customHeight="1">
      <c r="A230" s="128">
        <f>C230*ID규칙_아이템_구분_단위+D230*ID규칙_아이템_타입_단위+COUNTIFS($C$4:C230,C230,$D$4:D230,D230)</f>
        <v>311030</v>
      </c>
      <c r="B230" s="129" t="s">
        <v>475</v>
      </c>
      <c r="C230" s="128">
        <v>3</v>
      </c>
      <c r="D230" s="128">
        <v>11</v>
      </c>
      <c r="E230" s="128">
        <v>9999</v>
      </c>
      <c r="F230" s="141" t="str">
        <f t="shared" si="9"/>
        <v>ITEM_NAME_311030</v>
      </c>
      <c r="G230" s="141" t="str">
        <f t="shared" si="10"/>
        <v>ITEM_ICON_311030</v>
      </c>
      <c r="H230" s="141" t="str">
        <f t="shared" si="11"/>
        <v>ITEM_DESC_311030</v>
      </c>
    </row>
    <row r="231" spans="1:8" ht="13.9" customHeight="1">
      <c r="A231" s="128">
        <f>C231*ID규칙_아이템_구분_단위+D231*ID규칙_아이템_타입_단위+COUNTIFS($C$4:C231,C231,$D$4:D231,D231)</f>
        <v>311031</v>
      </c>
      <c r="B231" s="129" t="s">
        <v>476</v>
      </c>
      <c r="C231" s="128">
        <v>3</v>
      </c>
      <c r="D231" s="128">
        <v>11</v>
      </c>
      <c r="E231" s="128">
        <v>9999</v>
      </c>
      <c r="F231" s="141" t="str">
        <f t="shared" si="9"/>
        <v>ITEM_NAME_311031</v>
      </c>
      <c r="G231" s="141" t="str">
        <f t="shared" si="10"/>
        <v>ITEM_ICON_311031</v>
      </c>
      <c r="H231" s="141" t="str">
        <f t="shared" si="11"/>
        <v>ITEM_DESC_311031</v>
      </c>
    </row>
    <row r="232" spans="1:8" ht="13.9" customHeight="1">
      <c r="A232" s="128">
        <f>C232*ID규칙_아이템_구분_단위+D232*ID규칙_아이템_타입_단위+COUNTIFS($C$4:C232,C232,$D$4:D232,D232)</f>
        <v>311032</v>
      </c>
      <c r="B232" s="129" t="s">
        <v>477</v>
      </c>
      <c r="C232" s="128">
        <v>3</v>
      </c>
      <c r="D232" s="128">
        <v>11</v>
      </c>
      <c r="E232" s="128">
        <v>9999</v>
      </c>
      <c r="F232" s="141" t="str">
        <f t="shared" si="9"/>
        <v>ITEM_NAME_311032</v>
      </c>
      <c r="G232" s="141" t="str">
        <f t="shared" si="10"/>
        <v>ITEM_ICON_311032</v>
      </c>
      <c r="H232" s="141" t="str">
        <f t="shared" si="11"/>
        <v>ITEM_DESC_311032</v>
      </c>
    </row>
    <row r="233" spans="1:8" ht="13.9" customHeight="1">
      <c r="A233" s="128">
        <f>C233*ID규칙_아이템_구분_단위+D233*ID규칙_아이템_타입_단위+COUNTIFS($C$4:C233,C233,$D$4:D233,D233)</f>
        <v>311033</v>
      </c>
      <c r="B233" s="129" t="s">
        <v>478</v>
      </c>
      <c r="C233" s="128">
        <v>3</v>
      </c>
      <c r="D233" s="128">
        <v>11</v>
      </c>
      <c r="E233" s="128">
        <v>9999</v>
      </c>
      <c r="F233" s="141" t="str">
        <f t="shared" si="9"/>
        <v>ITEM_NAME_311033</v>
      </c>
      <c r="G233" s="141" t="str">
        <f t="shared" si="10"/>
        <v>ITEM_ICON_311033</v>
      </c>
      <c r="H233" s="141" t="str">
        <f t="shared" si="11"/>
        <v>ITEM_DESC_311033</v>
      </c>
    </row>
    <row r="234" spans="1:8" ht="13.9" customHeight="1">
      <c r="A234" s="128">
        <f>C234*ID규칙_아이템_구분_단위+D234*ID규칙_아이템_타입_단위+COUNTIFS($C$4:C234,C234,$D$4:D234,D234)</f>
        <v>311034</v>
      </c>
      <c r="B234" s="129" t="s">
        <v>479</v>
      </c>
      <c r="C234" s="128">
        <v>3</v>
      </c>
      <c r="D234" s="128">
        <v>11</v>
      </c>
      <c r="E234" s="128">
        <v>9999</v>
      </c>
      <c r="F234" s="141" t="str">
        <f t="shared" si="9"/>
        <v>ITEM_NAME_311034</v>
      </c>
      <c r="G234" s="141" t="str">
        <f t="shared" si="10"/>
        <v>ITEM_ICON_311034</v>
      </c>
      <c r="H234" s="141" t="str">
        <f t="shared" si="11"/>
        <v>ITEM_DESC_311034</v>
      </c>
    </row>
    <row r="235" spans="1:8" ht="13.9" customHeight="1">
      <c r="A235" s="128">
        <f>C235*ID규칙_아이템_구분_단위+D235*ID규칙_아이템_타입_단위+COUNTIFS($C$4:C235,C235,$D$4:D235,D235)</f>
        <v>311035</v>
      </c>
      <c r="B235" s="129" t="s">
        <v>480</v>
      </c>
      <c r="C235" s="128">
        <v>3</v>
      </c>
      <c r="D235" s="128">
        <v>11</v>
      </c>
      <c r="E235" s="128">
        <v>9999</v>
      </c>
      <c r="F235" s="141" t="str">
        <f t="shared" si="9"/>
        <v>ITEM_NAME_311035</v>
      </c>
      <c r="G235" s="141" t="str">
        <f t="shared" si="10"/>
        <v>ITEM_ICON_311035</v>
      </c>
      <c r="H235" s="141" t="str">
        <f t="shared" si="11"/>
        <v>ITEM_DESC_311035</v>
      </c>
    </row>
    <row r="236" spans="1:8" ht="13.9" customHeight="1">
      <c r="A236" s="128">
        <f>C236*ID규칙_아이템_구분_단위+D236*ID규칙_아이템_타입_단위+COUNTIFS($C$4:C236,C236,$D$4:D236,D236)</f>
        <v>311036</v>
      </c>
      <c r="B236" s="129" t="s">
        <v>481</v>
      </c>
      <c r="C236" s="128">
        <v>3</v>
      </c>
      <c r="D236" s="128">
        <v>11</v>
      </c>
      <c r="E236" s="128">
        <v>9999</v>
      </c>
      <c r="F236" s="141" t="str">
        <f t="shared" si="9"/>
        <v>ITEM_NAME_311036</v>
      </c>
      <c r="G236" s="141" t="str">
        <f t="shared" si="10"/>
        <v>ITEM_ICON_311036</v>
      </c>
      <c r="H236" s="141" t="str">
        <f t="shared" si="11"/>
        <v>ITEM_DESC_311036</v>
      </c>
    </row>
    <row r="237" spans="1:8" ht="13.9" customHeight="1">
      <c r="A237" s="128">
        <f>C237*ID규칙_아이템_구분_단위+D237*ID규칙_아이템_타입_단위+COUNTIFS($C$4:C237,C237,$D$4:D237,D237)</f>
        <v>311037</v>
      </c>
      <c r="B237" s="129" t="s">
        <v>482</v>
      </c>
      <c r="C237" s="128">
        <v>3</v>
      </c>
      <c r="D237" s="128">
        <v>11</v>
      </c>
      <c r="E237" s="128">
        <v>9999</v>
      </c>
      <c r="F237" s="141" t="str">
        <f t="shared" si="9"/>
        <v>ITEM_NAME_311037</v>
      </c>
      <c r="G237" s="141" t="str">
        <f t="shared" si="10"/>
        <v>ITEM_ICON_311037</v>
      </c>
      <c r="H237" s="141" t="str">
        <f t="shared" si="11"/>
        <v>ITEM_DESC_311037</v>
      </c>
    </row>
    <row r="238" spans="1:8" ht="13.9" customHeight="1">
      <c r="A238" s="128">
        <f>C238*ID규칙_아이템_구분_단위+D238*ID규칙_아이템_타입_단위+COUNTIFS($C$4:C238,C238,$D$4:D238,D238)</f>
        <v>311038</v>
      </c>
      <c r="B238" s="129" t="s">
        <v>483</v>
      </c>
      <c r="C238" s="128">
        <v>3</v>
      </c>
      <c r="D238" s="128">
        <v>11</v>
      </c>
      <c r="E238" s="128">
        <v>9999</v>
      </c>
      <c r="F238" s="141" t="str">
        <f t="shared" si="9"/>
        <v>ITEM_NAME_311038</v>
      </c>
      <c r="G238" s="141" t="str">
        <f t="shared" si="10"/>
        <v>ITEM_ICON_311038</v>
      </c>
      <c r="H238" s="141" t="str">
        <f t="shared" si="11"/>
        <v>ITEM_DESC_311038</v>
      </c>
    </row>
    <row r="239" spans="1:8" ht="13.9" customHeight="1">
      <c r="A239" s="128">
        <f>C239*ID규칙_아이템_구분_단위+D239*ID규칙_아이템_타입_단위+COUNTIFS($C$4:C239,C239,$D$4:D239,D239)</f>
        <v>311039</v>
      </c>
      <c r="B239" s="129" t="s">
        <v>484</v>
      </c>
      <c r="C239" s="128">
        <v>3</v>
      </c>
      <c r="D239" s="128">
        <v>11</v>
      </c>
      <c r="E239" s="128">
        <v>9999</v>
      </c>
      <c r="F239" s="141" t="str">
        <f t="shared" si="9"/>
        <v>ITEM_NAME_311039</v>
      </c>
      <c r="G239" s="141" t="str">
        <f t="shared" si="10"/>
        <v>ITEM_ICON_311039</v>
      </c>
      <c r="H239" s="141" t="str">
        <f t="shared" si="11"/>
        <v>ITEM_DESC_311039</v>
      </c>
    </row>
    <row r="240" spans="1:8" ht="13.9" customHeight="1">
      <c r="A240" s="128">
        <f>C240*ID규칙_아이템_구분_단위+D240*ID규칙_아이템_타입_단위+COUNTIFS($C$4:C240,C240,$D$4:D240,D240)</f>
        <v>311040</v>
      </c>
      <c r="B240" s="129" t="s">
        <v>485</v>
      </c>
      <c r="C240" s="128">
        <v>3</v>
      </c>
      <c r="D240" s="128">
        <v>11</v>
      </c>
      <c r="E240" s="128">
        <v>9999</v>
      </c>
      <c r="F240" s="141" t="str">
        <f t="shared" si="9"/>
        <v>ITEM_NAME_311040</v>
      </c>
      <c r="G240" s="141" t="str">
        <f t="shared" si="10"/>
        <v>ITEM_ICON_311040</v>
      </c>
      <c r="H240" s="141" t="str">
        <f t="shared" si="11"/>
        <v>ITEM_DESC_311040</v>
      </c>
    </row>
    <row r="241" spans="1:8" ht="13.9" customHeight="1">
      <c r="A241" s="128">
        <f>C241*ID규칙_아이템_구분_단위+D241*ID규칙_아이템_타입_단위+COUNTIFS($C$4:C241,C241,$D$4:D241,D241)</f>
        <v>311041</v>
      </c>
      <c r="B241" s="129" t="s">
        <v>486</v>
      </c>
      <c r="C241" s="128">
        <v>3</v>
      </c>
      <c r="D241" s="128">
        <v>11</v>
      </c>
      <c r="E241" s="128">
        <v>9999</v>
      </c>
      <c r="F241" s="141" t="str">
        <f t="shared" si="9"/>
        <v>ITEM_NAME_311041</v>
      </c>
      <c r="G241" s="141" t="str">
        <f t="shared" si="10"/>
        <v>ITEM_ICON_311041</v>
      </c>
      <c r="H241" s="141" t="str">
        <f t="shared" si="11"/>
        <v>ITEM_DESC_311041</v>
      </c>
    </row>
    <row r="242" spans="1:8" ht="13.9" customHeight="1">
      <c r="A242" s="128">
        <f>C242*ID규칙_아이템_구분_단위+D242*ID규칙_아이템_타입_단위+COUNTIFS($C$4:C242,C242,$D$4:D242,D242)</f>
        <v>311042</v>
      </c>
      <c r="B242" s="129" t="s">
        <v>487</v>
      </c>
      <c r="C242" s="128">
        <v>3</v>
      </c>
      <c r="D242" s="128">
        <v>11</v>
      </c>
      <c r="E242" s="128">
        <v>9999</v>
      </c>
      <c r="F242" s="141" t="str">
        <f t="shared" si="9"/>
        <v>ITEM_NAME_311042</v>
      </c>
      <c r="G242" s="141" t="str">
        <f t="shared" si="10"/>
        <v>ITEM_ICON_311042</v>
      </c>
      <c r="H242" s="141" t="str">
        <f t="shared" si="11"/>
        <v>ITEM_DESC_311042</v>
      </c>
    </row>
    <row r="243" spans="1:8" ht="13.9" customHeight="1">
      <c r="A243" s="128">
        <f>C243*ID규칙_아이템_구분_단위+D243*ID규칙_아이템_타입_단위+COUNTIFS($C$4:C243,C243,$D$4:D243,D243)</f>
        <v>311043</v>
      </c>
      <c r="B243" s="129" t="s">
        <v>488</v>
      </c>
      <c r="C243" s="128">
        <v>3</v>
      </c>
      <c r="D243" s="128">
        <v>11</v>
      </c>
      <c r="E243" s="128">
        <v>9999</v>
      </c>
      <c r="F243" s="141" t="str">
        <f t="shared" si="9"/>
        <v>ITEM_NAME_311043</v>
      </c>
      <c r="G243" s="141" t="str">
        <f t="shared" si="10"/>
        <v>ITEM_ICON_311043</v>
      </c>
      <c r="H243" s="141" t="str">
        <f t="shared" si="11"/>
        <v>ITEM_DESC_311043</v>
      </c>
    </row>
    <row r="244" spans="1:8" ht="13.9" customHeight="1">
      <c r="A244" s="128">
        <f>C244*ID규칙_아이템_구분_단위+D244*ID규칙_아이템_타입_단위+COUNTIFS($C$4:C244,C244,$D$4:D244,D244)</f>
        <v>311044</v>
      </c>
      <c r="B244" s="129" t="s">
        <v>489</v>
      </c>
      <c r="C244" s="128">
        <v>3</v>
      </c>
      <c r="D244" s="128">
        <v>11</v>
      </c>
      <c r="E244" s="128">
        <v>9999</v>
      </c>
      <c r="F244" s="141" t="str">
        <f t="shared" si="9"/>
        <v>ITEM_NAME_311044</v>
      </c>
      <c r="G244" s="141" t="str">
        <f t="shared" si="10"/>
        <v>ITEM_ICON_311044</v>
      </c>
      <c r="H244" s="141" t="str">
        <f t="shared" si="11"/>
        <v>ITEM_DESC_311044</v>
      </c>
    </row>
    <row r="245" spans="1:8" ht="13.9" customHeight="1">
      <c r="A245" s="128">
        <f>C245*ID규칙_아이템_구분_단위+D245*ID규칙_아이템_타입_단위+COUNTIFS($C$4:C245,C245,$D$4:D245,D245)</f>
        <v>311045</v>
      </c>
      <c r="B245" s="129" t="s">
        <v>490</v>
      </c>
      <c r="C245" s="128">
        <v>3</v>
      </c>
      <c r="D245" s="128">
        <v>11</v>
      </c>
      <c r="E245" s="128">
        <v>9999</v>
      </c>
      <c r="F245" s="141" t="str">
        <f t="shared" si="9"/>
        <v>ITEM_NAME_311045</v>
      </c>
      <c r="G245" s="141" t="str">
        <f t="shared" si="10"/>
        <v>ITEM_ICON_311045</v>
      </c>
      <c r="H245" s="141" t="str">
        <f t="shared" si="11"/>
        <v>ITEM_DESC_311045</v>
      </c>
    </row>
    <row r="246" spans="1:8" ht="13.9" customHeight="1">
      <c r="A246" s="128">
        <f>C246*ID규칙_아이템_구분_단위+D246*ID규칙_아이템_타입_단위+COUNTIFS($C$4:C246,C246,$D$4:D246,D246)</f>
        <v>311046</v>
      </c>
      <c r="B246" s="129" t="s">
        <v>491</v>
      </c>
      <c r="C246" s="128">
        <v>3</v>
      </c>
      <c r="D246" s="128">
        <v>11</v>
      </c>
      <c r="E246" s="128">
        <v>9999</v>
      </c>
      <c r="F246" s="141" t="str">
        <f t="shared" si="9"/>
        <v>ITEM_NAME_311046</v>
      </c>
      <c r="G246" s="141" t="str">
        <f t="shared" si="10"/>
        <v>ITEM_ICON_311046</v>
      </c>
      <c r="H246" s="141" t="str">
        <f t="shared" si="11"/>
        <v>ITEM_DESC_311046</v>
      </c>
    </row>
    <row r="247" spans="1:8" ht="13.9" customHeight="1">
      <c r="A247" s="128">
        <f>C247*ID규칙_아이템_구분_단위+D247*ID규칙_아이템_타입_단위+COUNTIFS($C$4:C247,C247,$D$4:D247,D247)</f>
        <v>311047</v>
      </c>
      <c r="B247" s="129" t="s">
        <v>492</v>
      </c>
      <c r="C247" s="128">
        <v>3</v>
      </c>
      <c r="D247" s="128">
        <v>11</v>
      </c>
      <c r="E247" s="128">
        <v>9999</v>
      </c>
      <c r="F247" s="141" t="str">
        <f t="shared" si="9"/>
        <v>ITEM_NAME_311047</v>
      </c>
      <c r="G247" s="141" t="str">
        <f t="shared" si="10"/>
        <v>ITEM_ICON_311047</v>
      </c>
      <c r="H247" s="141" t="str">
        <f t="shared" si="11"/>
        <v>ITEM_DESC_311047</v>
      </c>
    </row>
    <row r="248" spans="1:8" ht="13.9" customHeight="1">
      <c r="A248" s="128">
        <f>C248*ID규칙_아이템_구분_단위+D248*ID규칙_아이템_타입_단위+COUNTIFS($C$4:C248,C248,$D$4:D248,D248)</f>
        <v>311048</v>
      </c>
      <c r="B248" s="129" t="s">
        <v>493</v>
      </c>
      <c r="C248" s="128">
        <v>3</v>
      </c>
      <c r="D248" s="128">
        <v>11</v>
      </c>
      <c r="E248" s="128">
        <v>9999</v>
      </c>
      <c r="F248" s="141" t="str">
        <f t="shared" si="9"/>
        <v>ITEM_NAME_311048</v>
      </c>
      <c r="G248" s="141" t="str">
        <f t="shared" si="10"/>
        <v>ITEM_ICON_311048</v>
      </c>
      <c r="H248" s="141" t="str">
        <f t="shared" si="11"/>
        <v>ITEM_DESC_311048</v>
      </c>
    </row>
    <row r="249" spans="1:8" ht="13.9" customHeight="1">
      <c r="A249" s="128">
        <f>C249*ID규칙_아이템_구분_단위+D249*ID규칙_아이템_타입_단위+COUNTIFS($C$4:C249,C249,$D$4:D249,D249)</f>
        <v>311049</v>
      </c>
      <c r="B249" s="129" t="s">
        <v>494</v>
      </c>
      <c r="C249" s="128">
        <v>3</v>
      </c>
      <c r="D249" s="128">
        <v>11</v>
      </c>
      <c r="E249" s="128">
        <v>9999</v>
      </c>
      <c r="F249" s="141" t="str">
        <f t="shared" si="9"/>
        <v>ITEM_NAME_311049</v>
      </c>
      <c r="G249" s="141" t="str">
        <f t="shared" si="10"/>
        <v>ITEM_ICON_311049</v>
      </c>
      <c r="H249" s="141" t="str">
        <f t="shared" si="11"/>
        <v>ITEM_DESC_311049</v>
      </c>
    </row>
    <row r="250" spans="1:8" ht="13.9" customHeight="1">
      <c r="A250" s="128">
        <f>C250*ID규칙_아이템_구분_단위+D250*ID규칙_아이템_타입_단위+COUNTIFS($C$4:C250,C250,$D$4:D250,D250)</f>
        <v>311050</v>
      </c>
      <c r="B250" s="129" t="s">
        <v>495</v>
      </c>
      <c r="C250" s="128">
        <v>3</v>
      </c>
      <c r="D250" s="128">
        <v>11</v>
      </c>
      <c r="E250" s="128">
        <v>9999</v>
      </c>
      <c r="F250" s="141" t="str">
        <f t="shared" si="9"/>
        <v>ITEM_NAME_311050</v>
      </c>
      <c r="G250" s="141" t="str">
        <f t="shared" si="10"/>
        <v>ITEM_ICON_311050</v>
      </c>
      <c r="H250" s="141" t="str">
        <f t="shared" si="11"/>
        <v>ITEM_DESC_311050</v>
      </c>
    </row>
    <row r="251" spans="1:8" ht="13.9" customHeight="1">
      <c r="A251" s="128">
        <f>C251*ID규칙_아이템_구분_단위+D251*ID규칙_아이템_타입_단위+COUNTIFS($C$4:C251,C251,$D$4:D251,D251)</f>
        <v>311051</v>
      </c>
      <c r="B251" s="129" t="s">
        <v>496</v>
      </c>
      <c r="C251" s="128">
        <v>3</v>
      </c>
      <c r="D251" s="128">
        <v>11</v>
      </c>
      <c r="E251" s="128">
        <v>9999</v>
      </c>
      <c r="F251" s="141" t="str">
        <f t="shared" si="9"/>
        <v>ITEM_NAME_311051</v>
      </c>
      <c r="G251" s="141" t="str">
        <f t="shared" si="10"/>
        <v>ITEM_ICON_311051</v>
      </c>
      <c r="H251" s="141" t="str">
        <f t="shared" si="11"/>
        <v>ITEM_DESC_311051</v>
      </c>
    </row>
    <row r="252" spans="1:8" ht="13.9" customHeight="1">
      <c r="A252" s="128">
        <f>C252*ID규칙_아이템_구분_단위+D252*ID규칙_아이템_타입_단위+COUNTIFS($C$4:C252,C252,$D$4:D252,D252)</f>
        <v>311052</v>
      </c>
      <c r="B252" s="129" t="s">
        <v>497</v>
      </c>
      <c r="C252" s="128">
        <v>3</v>
      </c>
      <c r="D252" s="128">
        <v>11</v>
      </c>
      <c r="E252" s="128">
        <v>9999</v>
      </c>
      <c r="F252" s="141" t="str">
        <f t="shared" si="9"/>
        <v>ITEM_NAME_311052</v>
      </c>
      <c r="G252" s="141" t="str">
        <f t="shared" si="10"/>
        <v>ITEM_ICON_311052</v>
      </c>
      <c r="H252" s="141" t="str">
        <f t="shared" si="11"/>
        <v>ITEM_DESC_311052</v>
      </c>
    </row>
    <row r="253" spans="1:8" ht="13.9" customHeight="1">
      <c r="A253" s="128">
        <f>C253*ID규칙_아이템_구분_단위+D253*ID규칙_아이템_타입_단위+COUNTIFS($C$4:C253,C253,$D$4:D253,D253)</f>
        <v>311053</v>
      </c>
      <c r="B253" s="129" t="s">
        <v>498</v>
      </c>
      <c r="C253" s="128">
        <v>3</v>
      </c>
      <c r="D253" s="128">
        <v>11</v>
      </c>
      <c r="E253" s="128">
        <v>9999</v>
      </c>
      <c r="F253" s="141" t="str">
        <f t="shared" si="9"/>
        <v>ITEM_NAME_311053</v>
      </c>
      <c r="G253" s="141" t="str">
        <f t="shared" si="10"/>
        <v>ITEM_ICON_311053</v>
      </c>
      <c r="H253" s="141" t="str">
        <f t="shared" si="11"/>
        <v>ITEM_DESC_311053</v>
      </c>
    </row>
    <row r="254" spans="1:8" ht="13.9" customHeight="1">
      <c r="A254" s="128">
        <f>C254*ID규칙_아이템_구분_단위+D254*ID규칙_아이템_타입_단위+COUNTIFS($C$4:C254,C254,$D$4:D254,D254)</f>
        <v>311054</v>
      </c>
      <c r="B254" s="129" t="s">
        <v>499</v>
      </c>
      <c r="C254" s="128">
        <v>3</v>
      </c>
      <c r="D254" s="128">
        <v>11</v>
      </c>
      <c r="E254" s="128">
        <v>9999</v>
      </c>
      <c r="F254" s="141" t="str">
        <f t="shared" si="9"/>
        <v>ITEM_NAME_311054</v>
      </c>
      <c r="G254" s="141" t="str">
        <f t="shared" si="10"/>
        <v>ITEM_ICON_311054</v>
      </c>
      <c r="H254" s="141" t="str">
        <f t="shared" si="11"/>
        <v>ITEM_DESC_311054</v>
      </c>
    </row>
    <row r="255" spans="1:8" ht="13.9" customHeight="1">
      <c r="A255" s="128">
        <f>C255*ID규칙_아이템_구분_단위+D255*ID규칙_아이템_타입_단위+COUNTIFS($C$4:C255,C255,$D$4:D255,D255)</f>
        <v>311055</v>
      </c>
      <c r="B255" s="129" t="s">
        <v>500</v>
      </c>
      <c r="C255" s="128">
        <v>3</v>
      </c>
      <c r="D255" s="128">
        <v>11</v>
      </c>
      <c r="E255" s="128">
        <v>9999</v>
      </c>
      <c r="F255" s="141" t="str">
        <f t="shared" si="9"/>
        <v>ITEM_NAME_311055</v>
      </c>
      <c r="G255" s="141" t="str">
        <f t="shared" si="10"/>
        <v>ITEM_ICON_311055</v>
      </c>
      <c r="H255" s="141" t="str">
        <f t="shared" si="11"/>
        <v>ITEM_DESC_311055</v>
      </c>
    </row>
    <row r="256" spans="1:8" ht="13.9" customHeight="1">
      <c r="A256" s="128">
        <f>C256*ID규칙_아이템_구분_단위+D256*ID규칙_아이템_타입_단위+COUNTIFS($C$4:C256,C256,$D$4:D256,D256)</f>
        <v>311056</v>
      </c>
      <c r="B256" s="129" t="s">
        <v>501</v>
      </c>
      <c r="C256" s="128">
        <v>3</v>
      </c>
      <c r="D256" s="128">
        <v>11</v>
      </c>
      <c r="E256" s="128">
        <v>9999</v>
      </c>
      <c r="F256" s="141" t="str">
        <f t="shared" si="9"/>
        <v>ITEM_NAME_311056</v>
      </c>
      <c r="G256" s="141" t="str">
        <f t="shared" si="10"/>
        <v>ITEM_ICON_311056</v>
      </c>
      <c r="H256" s="141" t="str">
        <f t="shared" si="11"/>
        <v>ITEM_DESC_311056</v>
      </c>
    </row>
    <row r="257" spans="1:8" ht="13.9" customHeight="1">
      <c r="A257" s="128">
        <f>C257*ID규칙_아이템_구분_단위+D257*ID규칙_아이템_타입_단위+COUNTIFS($C$4:C257,C257,$D$4:D257,D257)</f>
        <v>311057</v>
      </c>
      <c r="B257" s="129" t="s">
        <v>502</v>
      </c>
      <c r="C257" s="128">
        <v>3</v>
      </c>
      <c r="D257" s="128">
        <v>11</v>
      </c>
      <c r="E257" s="128">
        <v>9999</v>
      </c>
      <c r="F257" s="141" t="str">
        <f t="shared" si="9"/>
        <v>ITEM_NAME_311057</v>
      </c>
      <c r="G257" s="141" t="str">
        <f t="shared" si="10"/>
        <v>ITEM_ICON_311057</v>
      </c>
      <c r="H257" s="141" t="str">
        <f t="shared" si="11"/>
        <v>ITEM_DESC_311057</v>
      </c>
    </row>
    <row r="258" spans="1:8" ht="13.9" customHeight="1">
      <c r="A258" s="128">
        <f>C258*ID규칙_아이템_구분_단위+D258*ID규칙_아이템_타입_단위+COUNTIFS($C$4:C258,C258,$D$4:D258,D258)</f>
        <v>311058</v>
      </c>
      <c r="B258" s="129" t="s">
        <v>503</v>
      </c>
      <c r="C258" s="128">
        <v>3</v>
      </c>
      <c r="D258" s="128">
        <v>11</v>
      </c>
      <c r="E258" s="128">
        <v>9999</v>
      </c>
      <c r="F258" s="141" t="str">
        <f t="shared" si="9"/>
        <v>ITEM_NAME_311058</v>
      </c>
      <c r="G258" s="141" t="str">
        <f t="shared" si="10"/>
        <v>ITEM_ICON_311058</v>
      </c>
      <c r="H258" s="141" t="str">
        <f t="shared" si="11"/>
        <v>ITEM_DESC_311058</v>
      </c>
    </row>
    <row r="259" spans="1:8" ht="13.9" customHeight="1">
      <c r="A259" s="128">
        <f>C259*ID규칙_아이템_구분_단위+D259*ID규칙_아이템_타입_단위+COUNTIFS($C$4:C259,C259,$D$4:D259,D259)</f>
        <v>311059</v>
      </c>
      <c r="B259" s="129" t="s">
        <v>504</v>
      </c>
      <c r="C259" s="128">
        <v>3</v>
      </c>
      <c r="D259" s="128">
        <v>11</v>
      </c>
      <c r="E259" s="128">
        <v>9999</v>
      </c>
      <c r="F259" s="141" t="str">
        <f t="shared" si="9"/>
        <v>ITEM_NAME_311059</v>
      </c>
      <c r="G259" s="141" t="str">
        <f t="shared" si="10"/>
        <v>ITEM_ICON_311059</v>
      </c>
      <c r="H259" s="141" t="str">
        <f t="shared" si="11"/>
        <v>ITEM_DESC_311059</v>
      </c>
    </row>
    <row r="260" spans="1:8" ht="13.9" customHeight="1">
      <c r="A260" s="128">
        <f>C260*ID규칙_아이템_구분_단위+D260*ID규칙_아이템_타입_단위+COUNTIFS($C$4:C260,C260,$D$4:D260,D260)</f>
        <v>311060</v>
      </c>
      <c r="B260" s="129" t="s">
        <v>505</v>
      </c>
      <c r="C260" s="128">
        <v>3</v>
      </c>
      <c r="D260" s="128">
        <v>11</v>
      </c>
      <c r="E260" s="128">
        <v>9999</v>
      </c>
      <c r="F260" s="141" t="str">
        <f t="shared" si="9"/>
        <v>ITEM_NAME_311060</v>
      </c>
      <c r="G260" s="141" t="str">
        <f t="shared" si="10"/>
        <v>ITEM_ICON_311060</v>
      </c>
      <c r="H260" s="141" t="str">
        <f t="shared" si="11"/>
        <v>ITEM_DESC_311060</v>
      </c>
    </row>
    <row r="261" spans="1:8" ht="13.9" customHeight="1">
      <c r="A261" s="128">
        <f>C261*ID규칙_아이템_구분_단위+D261*ID규칙_아이템_타입_단위+COUNTIFS($C$4:C261,C261,$D$4:D261,D261)</f>
        <v>311061</v>
      </c>
      <c r="B261" s="129" t="s">
        <v>506</v>
      </c>
      <c r="C261" s="128">
        <v>3</v>
      </c>
      <c r="D261" s="128">
        <v>11</v>
      </c>
      <c r="E261" s="128">
        <v>9999</v>
      </c>
      <c r="F261" s="141" t="str">
        <f t="shared" ref="F261:F324" si="12">"ITEM_NAME_"&amp;A261</f>
        <v>ITEM_NAME_311061</v>
      </c>
      <c r="G261" s="141" t="str">
        <f t="shared" ref="G261:G324" si="13">"ITEM_ICON_"&amp;A261</f>
        <v>ITEM_ICON_311061</v>
      </c>
      <c r="H261" s="141" t="str">
        <f t="shared" ref="H261:H324" si="14">"ITEM_DESC_"&amp;A261</f>
        <v>ITEM_DESC_311061</v>
      </c>
    </row>
    <row r="262" spans="1:8" ht="13.9" customHeight="1">
      <c r="A262" s="128">
        <f>C262*ID규칙_아이템_구분_단위+D262*ID규칙_아이템_타입_단위+COUNTIFS($C$4:C262,C262,$D$4:D262,D262)</f>
        <v>311062</v>
      </c>
      <c r="B262" s="129" t="s">
        <v>507</v>
      </c>
      <c r="C262" s="128">
        <v>3</v>
      </c>
      <c r="D262" s="128">
        <v>11</v>
      </c>
      <c r="E262" s="128">
        <v>9999</v>
      </c>
      <c r="F262" s="141" t="str">
        <f t="shared" si="12"/>
        <v>ITEM_NAME_311062</v>
      </c>
      <c r="G262" s="141" t="str">
        <f t="shared" si="13"/>
        <v>ITEM_ICON_311062</v>
      </c>
      <c r="H262" s="141" t="str">
        <f t="shared" si="14"/>
        <v>ITEM_DESC_311062</v>
      </c>
    </row>
    <row r="263" spans="1:8" ht="13.9" customHeight="1">
      <c r="A263" s="128">
        <f>C263*ID규칙_아이템_구분_단위+D263*ID규칙_아이템_타입_단위+COUNTIFS($C$4:C263,C263,$D$4:D263,D263)</f>
        <v>311063</v>
      </c>
      <c r="B263" s="129" t="s">
        <v>508</v>
      </c>
      <c r="C263" s="128">
        <v>3</v>
      </c>
      <c r="D263" s="128">
        <v>11</v>
      </c>
      <c r="E263" s="128">
        <v>9999</v>
      </c>
      <c r="F263" s="141" t="str">
        <f t="shared" si="12"/>
        <v>ITEM_NAME_311063</v>
      </c>
      <c r="G263" s="141" t="str">
        <f t="shared" si="13"/>
        <v>ITEM_ICON_311063</v>
      </c>
      <c r="H263" s="141" t="str">
        <f t="shared" si="14"/>
        <v>ITEM_DESC_311063</v>
      </c>
    </row>
    <row r="264" spans="1:8" ht="13.9" customHeight="1">
      <c r="A264" s="128">
        <f>C264*ID규칙_아이템_구분_단위+D264*ID규칙_아이템_타입_단위+COUNTIFS($C$4:C264,C264,$D$4:D264,D264)</f>
        <v>311064</v>
      </c>
      <c r="B264" s="129" t="s">
        <v>509</v>
      </c>
      <c r="C264" s="128">
        <v>3</v>
      </c>
      <c r="D264" s="128">
        <v>11</v>
      </c>
      <c r="E264" s="128">
        <v>9999</v>
      </c>
      <c r="F264" s="141" t="str">
        <f t="shared" si="12"/>
        <v>ITEM_NAME_311064</v>
      </c>
      <c r="G264" s="141" t="str">
        <f t="shared" si="13"/>
        <v>ITEM_ICON_311064</v>
      </c>
      <c r="H264" s="141" t="str">
        <f t="shared" si="14"/>
        <v>ITEM_DESC_311064</v>
      </c>
    </row>
    <row r="265" spans="1:8" ht="13.9" customHeight="1">
      <c r="A265" s="128">
        <f>C265*ID규칙_아이템_구분_단위+D265*ID규칙_아이템_타입_단위+COUNTIFS($C$4:C265,C265,$D$4:D265,D265)</f>
        <v>413001</v>
      </c>
      <c r="B265" s="129" t="s">
        <v>510</v>
      </c>
      <c r="C265" s="128">
        <v>4</v>
      </c>
      <c r="D265" s="128">
        <v>13</v>
      </c>
      <c r="E265" s="128">
        <v>9999</v>
      </c>
      <c r="F265" s="141" t="str">
        <f t="shared" si="12"/>
        <v>ITEM_NAME_413001</v>
      </c>
      <c r="G265" s="141" t="str">
        <f t="shared" si="13"/>
        <v>ITEM_ICON_413001</v>
      </c>
      <c r="H265" s="141" t="str">
        <f t="shared" si="14"/>
        <v>ITEM_DESC_413001</v>
      </c>
    </row>
    <row r="266" spans="1:8" ht="13.9" customHeight="1">
      <c r="A266" s="128">
        <f>C266*ID규칙_아이템_구분_단위+D266*ID규칙_아이템_타입_단위+COUNTIFS($C$4:C266,C266,$D$4:D266,D266)</f>
        <v>413002</v>
      </c>
      <c r="B266" s="129" t="s">
        <v>511</v>
      </c>
      <c r="C266" s="128">
        <v>4</v>
      </c>
      <c r="D266" s="128">
        <v>13</v>
      </c>
      <c r="E266" s="128">
        <v>9999</v>
      </c>
      <c r="F266" s="141" t="str">
        <f t="shared" si="12"/>
        <v>ITEM_NAME_413002</v>
      </c>
      <c r="G266" s="141" t="str">
        <f t="shared" si="13"/>
        <v>ITEM_ICON_413002</v>
      </c>
      <c r="H266" s="141" t="str">
        <f t="shared" si="14"/>
        <v>ITEM_DESC_413002</v>
      </c>
    </row>
    <row r="267" spans="1:8" ht="13.9" customHeight="1">
      <c r="A267" s="128">
        <f>C267*ID규칙_아이템_구분_단위+D267*ID규칙_아이템_타입_단위+COUNTIFS($C$4:C267,C267,$D$4:D267,D267)</f>
        <v>413003</v>
      </c>
      <c r="B267" s="129" t="s">
        <v>512</v>
      </c>
      <c r="C267" s="128">
        <v>4</v>
      </c>
      <c r="D267" s="128">
        <v>13</v>
      </c>
      <c r="E267" s="128">
        <v>9999</v>
      </c>
      <c r="F267" s="141" t="str">
        <f t="shared" si="12"/>
        <v>ITEM_NAME_413003</v>
      </c>
      <c r="G267" s="141" t="str">
        <f t="shared" si="13"/>
        <v>ITEM_ICON_413003</v>
      </c>
      <c r="H267" s="141" t="str">
        <f t="shared" si="14"/>
        <v>ITEM_DESC_413003</v>
      </c>
    </row>
    <row r="268" spans="1:8" ht="13.9" customHeight="1">
      <c r="A268" s="128">
        <f>C268*ID규칙_아이템_구분_단위+D268*ID규칙_아이템_타입_단위+COUNTIFS($C$4:C268,C268,$D$4:D268,D268)</f>
        <v>413004</v>
      </c>
      <c r="B268" s="129" t="s">
        <v>513</v>
      </c>
      <c r="C268" s="128">
        <v>4</v>
      </c>
      <c r="D268" s="128">
        <v>13</v>
      </c>
      <c r="E268" s="128">
        <v>9999</v>
      </c>
      <c r="F268" s="141" t="str">
        <f t="shared" si="12"/>
        <v>ITEM_NAME_413004</v>
      </c>
      <c r="G268" s="141" t="str">
        <f t="shared" si="13"/>
        <v>ITEM_ICON_413004</v>
      </c>
      <c r="H268" s="141" t="str">
        <f t="shared" si="14"/>
        <v>ITEM_DESC_413004</v>
      </c>
    </row>
    <row r="269" spans="1:8" ht="13.9" customHeight="1">
      <c r="A269" s="128">
        <f>C269*ID규칙_아이템_구분_단위+D269*ID규칙_아이템_타입_단위+COUNTIFS($C$4:C269,C269,$D$4:D269,D269)</f>
        <v>413005</v>
      </c>
      <c r="B269" s="129" t="s">
        <v>514</v>
      </c>
      <c r="C269" s="128">
        <v>4</v>
      </c>
      <c r="D269" s="128">
        <v>13</v>
      </c>
      <c r="E269" s="128">
        <v>9999</v>
      </c>
      <c r="F269" s="141" t="str">
        <f t="shared" si="12"/>
        <v>ITEM_NAME_413005</v>
      </c>
      <c r="G269" s="141" t="str">
        <f t="shared" si="13"/>
        <v>ITEM_ICON_413005</v>
      </c>
      <c r="H269" s="141" t="str">
        <f t="shared" si="14"/>
        <v>ITEM_DESC_413005</v>
      </c>
    </row>
    <row r="270" spans="1:8" ht="13.9" customHeight="1">
      <c r="A270" s="128">
        <f>C270*ID규칙_아이템_구분_단위+D270*ID규칙_아이템_타입_단위+COUNTIFS($C$4:C270,C270,$D$4:D270,D270)</f>
        <v>413006</v>
      </c>
      <c r="B270" s="129" t="s">
        <v>515</v>
      </c>
      <c r="C270" s="128">
        <v>4</v>
      </c>
      <c r="D270" s="128">
        <v>13</v>
      </c>
      <c r="E270" s="128">
        <v>9999</v>
      </c>
      <c r="F270" s="141" t="str">
        <f t="shared" si="12"/>
        <v>ITEM_NAME_413006</v>
      </c>
      <c r="G270" s="141" t="str">
        <f t="shared" si="13"/>
        <v>ITEM_ICON_413006</v>
      </c>
      <c r="H270" s="141" t="str">
        <f t="shared" si="14"/>
        <v>ITEM_DESC_413006</v>
      </c>
    </row>
    <row r="271" spans="1:8" ht="13.9" customHeight="1">
      <c r="A271" s="128">
        <f>C271*ID규칙_아이템_구분_단위+D271*ID규칙_아이템_타입_단위+COUNTIFS($C$4:C271,C271,$D$4:D271,D271)</f>
        <v>413007</v>
      </c>
      <c r="B271" s="129" t="s">
        <v>516</v>
      </c>
      <c r="C271" s="128">
        <v>4</v>
      </c>
      <c r="D271" s="128">
        <v>13</v>
      </c>
      <c r="E271" s="128">
        <v>9999</v>
      </c>
      <c r="F271" s="141" t="str">
        <f t="shared" si="12"/>
        <v>ITEM_NAME_413007</v>
      </c>
      <c r="G271" s="141" t="str">
        <f t="shared" si="13"/>
        <v>ITEM_ICON_413007</v>
      </c>
      <c r="H271" s="141" t="str">
        <f t="shared" si="14"/>
        <v>ITEM_DESC_413007</v>
      </c>
    </row>
    <row r="272" spans="1:8" ht="13.9" customHeight="1">
      <c r="A272" s="128">
        <f>C272*ID규칙_아이템_구분_단위+D272*ID규칙_아이템_타입_단위+COUNTIFS($C$4:C272,C272,$D$4:D272,D272)</f>
        <v>413008</v>
      </c>
      <c r="B272" s="129" t="s">
        <v>517</v>
      </c>
      <c r="C272" s="128">
        <v>4</v>
      </c>
      <c r="D272" s="128">
        <v>13</v>
      </c>
      <c r="E272" s="128">
        <v>9999</v>
      </c>
      <c r="F272" s="141" t="str">
        <f t="shared" si="12"/>
        <v>ITEM_NAME_413008</v>
      </c>
      <c r="G272" s="141" t="str">
        <f t="shared" si="13"/>
        <v>ITEM_ICON_413008</v>
      </c>
      <c r="H272" s="141" t="str">
        <f t="shared" si="14"/>
        <v>ITEM_DESC_413008</v>
      </c>
    </row>
    <row r="273" spans="1:8" ht="13.9" customHeight="1">
      <c r="A273" s="128">
        <f>C273*ID규칙_아이템_구분_단위+D273*ID규칙_아이템_타입_단위+COUNTIFS($C$4:C273,C273,$D$4:D273,D273)</f>
        <v>413009</v>
      </c>
      <c r="B273" s="129" t="s">
        <v>518</v>
      </c>
      <c r="C273" s="128">
        <v>4</v>
      </c>
      <c r="D273" s="128">
        <v>13</v>
      </c>
      <c r="E273" s="128">
        <v>9999</v>
      </c>
      <c r="F273" s="141" t="str">
        <f t="shared" si="12"/>
        <v>ITEM_NAME_413009</v>
      </c>
      <c r="G273" s="141" t="str">
        <f t="shared" si="13"/>
        <v>ITEM_ICON_413009</v>
      </c>
      <c r="H273" s="141" t="str">
        <f t="shared" si="14"/>
        <v>ITEM_DESC_413009</v>
      </c>
    </row>
    <row r="274" spans="1:8" ht="13.9" customHeight="1">
      <c r="A274" s="128">
        <f>C274*ID규칙_아이템_구분_단위+D274*ID규칙_아이템_타입_단위+COUNTIFS($C$4:C274,C274,$D$4:D274,D274)</f>
        <v>413010</v>
      </c>
      <c r="B274" s="129" t="s">
        <v>519</v>
      </c>
      <c r="C274" s="128">
        <v>4</v>
      </c>
      <c r="D274" s="128">
        <v>13</v>
      </c>
      <c r="E274" s="128">
        <v>9999</v>
      </c>
      <c r="F274" s="141" t="str">
        <f t="shared" si="12"/>
        <v>ITEM_NAME_413010</v>
      </c>
      <c r="G274" s="141" t="str">
        <f t="shared" si="13"/>
        <v>ITEM_ICON_413010</v>
      </c>
      <c r="H274" s="141" t="str">
        <f t="shared" si="14"/>
        <v>ITEM_DESC_413010</v>
      </c>
    </row>
    <row r="275" spans="1:8" ht="13.9" customHeight="1">
      <c r="A275" s="128">
        <f>C275*ID규칙_아이템_구분_단위+D275*ID규칙_아이템_타입_단위+COUNTIFS($C$4:C275,C275,$D$4:D275,D275)</f>
        <v>413011</v>
      </c>
      <c r="B275" s="129" t="s">
        <v>520</v>
      </c>
      <c r="C275" s="128">
        <v>4</v>
      </c>
      <c r="D275" s="128">
        <v>13</v>
      </c>
      <c r="E275" s="128">
        <v>9999</v>
      </c>
      <c r="F275" s="141" t="str">
        <f t="shared" si="12"/>
        <v>ITEM_NAME_413011</v>
      </c>
      <c r="G275" s="141" t="str">
        <f t="shared" si="13"/>
        <v>ITEM_ICON_413011</v>
      </c>
      <c r="H275" s="141" t="str">
        <f t="shared" si="14"/>
        <v>ITEM_DESC_413011</v>
      </c>
    </row>
    <row r="276" spans="1:8" ht="13.9" customHeight="1">
      <c r="A276" s="128">
        <f>C276*ID규칙_아이템_구분_단위+D276*ID규칙_아이템_타입_단위+COUNTIFS($C$4:C276,C276,$D$4:D276,D276)</f>
        <v>413012</v>
      </c>
      <c r="B276" s="129" t="s">
        <v>521</v>
      </c>
      <c r="C276" s="128">
        <v>4</v>
      </c>
      <c r="D276" s="128">
        <v>13</v>
      </c>
      <c r="E276" s="128">
        <v>9999</v>
      </c>
      <c r="F276" s="141" t="str">
        <f t="shared" si="12"/>
        <v>ITEM_NAME_413012</v>
      </c>
      <c r="G276" s="141" t="str">
        <f t="shared" si="13"/>
        <v>ITEM_ICON_413012</v>
      </c>
      <c r="H276" s="141" t="str">
        <f t="shared" si="14"/>
        <v>ITEM_DESC_413012</v>
      </c>
    </row>
    <row r="277" spans="1:8" ht="13.9" customHeight="1">
      <c r="A277" s="128">
        <f>C277*ID규칙_아이템_구분_단위+D277*ID규칙_아이템_타입_단위+COUNTIFS($C$4:C277,C277,$D$4:D277,D277)</f>
        <v>413013</v>
      </c>
      <c r="B277" s="129" t="s">
        <v>522</v>
      </c>
      <c r="C277" s="128">
        <v>4</v>
      </c>
      <c r="D277" s="128">
        <v>13</v>
      </c>
      <c r="E277" s="128">
        <v>9999</v>
      </c>
      <c r="F277" s="141" t="str">
        <f t="shared" si="12"/>
        <v>ITEM_NAME_413013</v>
      </c>
      <c r="G277" s="141" t="str">
        <f t="shared" si="13"/>
        <v>ITEM_ICON_413013</v>
      </c>
      <c r="H277" s="141" t="str">
        <f t="shared" si="14"/>
        <v>ITEM_DESC_413013</v>
      </c>
    </row>
    <row r="278" spans="1:8" ht="13.9" customHeight="1">
      <c r="A278" s="128">
        <f>C278*ID규칙_아이템_구분_단위+D278*ID규칙_아이템_타입_단위+COUNTIFS($C$4:C278,C278,$D$4:D278,D278)</f>
        <v>413014</v>
      </c>
      <c r="B278" s="129" t="s">
        <v>523</v>
      </c>
      <c r="C278" s="128">
        <v>4</v>
      </c>
      <c r="D278" s="128">
        <v>13</v>
      </c>
      <c r="E278" s="128">
        <v>9999</v>
      </c>
      <c r="F278" s="141" t="str">
        <f t="shared" si="12"/>
        <v>ITEM_NAME_413014</v>
      </c>
      <c r="G278" s="141" t="str">
        <f t="shared" si="13"/>
        <v>ITEM_ICON_413014</v>
      </c>
      <c r="H278" s="141" t="str">
        <f t="shared" si="14"/>
        <v>ITEM_DESC_413014</v>
      </c>
    </row>
    <row r="279" spans="1:8" ht="13.9" customHeight="1">
      <c r="A279" s="128">
        <f>C279*ID규칙_아이템_구분_단위+D279*ID규칙_아이템_타입_단위+COUNTIFS($C$4:C279,C279,$D$4:D279,D279)</f>
        <v>413015</v>
      </c>
      <c r="B279" s="129" t="s">
        <v>524</v>
      </c>
      <c r="C279" s="128">
        <v>4</v>
      </c>
      <c r="D279" s="128">
        <v>13</v>
      </c>
      <c r="E279" s="128">
        <v>9999</v>
      </c>
      <c r="F279" s="141" t="str">
        <f t="shared" si="12"/>
        <v>ITEM_NAME_413015</v>
      </c>
      <c r="G279" s="141" t="str">
        <f t="shared" si="13"/>
        <v>ITEM_ICON_413015</v>
      </c>
      <c r="H279" s="141" t="str">
        <f t="shared" si="14"/>
        <v>ITEM_DESC_413015</v>
      </c>
    </row>
    <row r="280" spans="1:8" ht="13.9" customHeight="1">
      <c r="A280" s="128">
        <f>C280*ID규칙_아이템_구분_단위+D280*ID규칙_아이템_타입_단위+COUNTIFS($C$4:C280,C280,$D$4:D280,D280)</f>
        <v>413016</v>
      </c>
      <c r="B280" s="129" t="s">
        <v>525</v>
      </c>
      <c r="C280" s="128">
        <v>4</v>
      </c>
      <c r="D280" s="128">
        <v>13</v>
      </c>
      <c r="E280" s="128">
        <v>9999</v>
      </c>
      <c r="F280" s="141" t="str">
        <f t="shared" si="12"/>
        <v>ITEM_NAME_413016</v>
      </c>
      <c r="G280" s="141" t="str">
        <f t="shared" si="13"/>
        <v>ITEM_ICON_413016</v>
      </c>
      <c r="H280" s="141" t="str">
        <f t="shared" si="14"/>
        <v>ITEM_DESC_413016</v>
      </c>
    </row>
    <row r="281" spans="1:8" ht="13.9" customHeight="1">
      <c r="A281" s="128">
        <f>C281*ID규칙_아이템_구분_단위+D281*ID규칙_아이템_타입_단위+COUNTIFS($C$4:C281,C281,$D$4:D281,D281)</f>
        <v>413017</v>
      </c>
      <c r="B281" s="129" t="s">
        <v>526</v>
      </c>
      <c r="C281" s="128">
        <v>4</v>
      </c>
      <c r="D281" s="128">
        <v>13</v>
      </c>
      <c r="E281" s="128">
        <v>9999</v>
      </c>
      <c r="F281" s="141" t="str">
        <f t="shared" si="12"/>
        <v>ITEM_NAME_413017</v>
      </c>
      <c r="G281" s="141" t="str">
        <f t="shared" si="13"/>
        <v>ITEM_ICON_413017</v>
      </c>
      <c r="H281" s="141" t="str">
        <f t="shared" si="14"/>
        <v>ITEM_DESC_413017</v>
      </c>
    </row>
    <row r="282" spans="1:8" ht="13.9" customHeight="1">
      <c r="A282" s="128">
        <f>C282*ID규칙_아이템_구분_단위+D282*ID규칙_아이템_타입_단위+COUNTIFS($C$4:C282,C282,$D$4:D282,D282)</f>
        <v>515001</v>
      </c>
      <c r="B282" s="129" t="s">
        <v>527</v>
      </c>
      <c r="C282" s="128">
        <v>5</v>
      </c>
      <c r="D282" s="128">
        <v>15</v>
      </c>
      <c r="E282" s="128">
        <v>9999</v>
      </c>
      <c r="F282" s="141" t="str">
        <f t="shared" si="12"/>
        <v>ITEM_NAME_515001</v>
      </c>
      <c r="G282" s="141" t="str">
        <f t="shared" si="13"/>
        <v>ITEM_ICON_515001</v>
      </c>
      <c r="H282" s="141" t="str">
        <f t="shared" si="14"/>
        <v>ITEM_DESC_515001</v>
      </c>
    </row>
    <row r="283" spans="1:8" ht="13.9" customHeight="1">
      <c r="A283" s="128">
        <f>C283*ID규칙_아이템_구분_단위+D283*ID규칙_아이템_타입_단위+COUNTIFS($C$4:C283,C283,$D$4:D283,D283)</f>
        <v>515002</v>
      </c>
      <c r="B283" s="129" t="s">
        <v>528</v>
      </c>
      <c r="C283" s="128">
        <v>5</v>
      </c>
      <c r="D283" s="128">
        <v>15</v>
      </c>
      <c r="E283" s="128">
        <v>9999</v>
      </c>
      <c r="F283" s="141" t="str">
        <f t="shared" si="12"/>
        <v>ITEM_NAME_515002</v>
      </c>
      <c r="G283" s="141" t="str">
        <f t="shared" si="13"/>
        <v>ITEM_ICON_515002</v>
      </c>
      <c r="H283" s="141" t="str">
        <f t="shared" si="14"/>
        <v>ITEM_DESC_515002</v>
      </c>
    </row>
    <row r="284" spans="1:8" ht="13.9" customHeight="1">
      <c r="A284" s="128">
        <f>C284*ID규칙_아이템_구분_단위+D284*ID규칙_아이템_타입_단위+COUNTIFS($C$4:C284,C284,$D$4:D284,D284)</f>
        <v>515003</v>
      </c>
      <c r="B284" s="129" t="s">
        <v>529</v>
      </c>
      <c r="C284" s="128">
        <v>5</v>
      </c>
      <c r="D284" s="128">
        <v>15</v>
      </c>
      <c r="E284" s="128">
        <v>9999</v>
      </c>
      <c r="F284" s="141" t="str">
        <f t="shared" si="12"/>
        <v>ITEM_NAME_515003</v>
      </c>
      <c r="G284" s="141" t="str">
        <f t="shared" si="13"/>
        <v>ITEM_ICON_515003</v>
      </c>
      <c r="H284" s="141" t="str">
        <f t="shared" si="14"/>
        <v>ITEM_DESC_515003</v>
      </c>
    </row>
    <row r="285" spans="1:8" ht="13.9" customHeight="1">
      <c r="A285" s="128">
        <f>C285*ID규칙_아이템_구분_단위+D285*ID규칙_아이템_타입_단위+COUNTIFS($C$4:C285,C285,$D$4:D285,D285)</f>
        <v>515004</v>
      </c>
      <c r="B285" s="129" t="s">
        <v>530</v>
      </c>
      <c r="C285" s="128">
        <v>5</v>
      </c>
      <c r="D285" s="128">
        <v>15</v>
      </c>
      <c r="E285" s="128">
        <v>9999</v>
      </c>
      <c r="F285" s="141" t="str">
        <f t="shared" si="12"/>
        <v>ITEM_NAME_515004</v>
      </c>
      <c r="G285" s="141" t="str">
        <f t="shared" si="13"/>
        <v>ITEM_ICON_515004</v>
      </c>
      <c r="H285" s="141" t="str">
        <f t="shared" si="14"/>
        <v>ITEM_DESC_515004</v>
      </c>
    </row>
    <row r="286" spans="1:8" ht="13.9" customHeight="1">
      <c r="A286" s="128">
        <f>C286*ID규칙_아이템_구분_단위+D286*ID규칙_아이템_타입_단위+COUNTIFS($C$4:C286,C286,$D$4:D286,D286)</f>
        <v>515005</v>
      </c>
      <c r="B286" s="129" t="s">
        <v>531</v>
      </c>
      <c r="C286" s="128">
        <v>5</v>
      </c>
      <c r="D286" s="128">
        <v>15</v>
      </c>
      <c r="E286" s="128">
        <v>9999</v>
      </c>
      <c r="F286" s="141" t="str">
        <f t="shared" si="12"/>
        <v>ITEM_NAME_515005</v>
      </c>
      <c r="G286" s="141" t="str">
        <f t="shared" si="13"/>
        <v>ITEM_ICON_515005</v>
      </c>
      <c r="H286" s="141" t="str">
        <f t="shared" si="14"/>
        <v>ITEM_DESC_515005</v>
      </c>
    </row>
    <row r="287" spans="1:8" ht="13.9" customHeight="1">
      <c r="A287" s="128">
        <f>C287*ID규칙_아이템_구분_단위+D287*ID규칙_아이템_타입_단위+COUNTIFS($C$4:C287,C287,$D$4:D287,D287)</f>
        <v>515006</v>
      </c>
      <c r="B287" s="129" t="s">
        <v>532</v>
      </c>
      <c r="C287" s="128">
        <v>5</v>
      </c>
      <c r="D287" s="128">
        <v>15</v>
      </c>
      <c r="E287" s="128">
        <v>9999</v>
      </c>
      <c r="F287" s="141" t="str">
        <f t="shared" si="12"/>
        <v>ITEM_NAME_515006</v>
      </c>
      <c r="G287" s="141" t="str">
        <f t="shared" si="13"/>
        <v>ITEM_ICON_515006</v>
      </c>
      <c r="H287" s="141" t="str">
        <f t="shared" si="14"/>
        <v>ITEM_DESC_515006</v>
      </c>
    </row>
    <row r="288" spans="1:8" ht="13.9" customHeight="1">
      <c r="A288" s="128">
        <f>C288*ID규칙_아이템_구분_단위+D288*ID규칙_아이템_타입_단위+COUNTIFS($C$4:C288,C288,$D$4:D288,D288)</f>
        <v>515007</v>
      </c>
      <c r="B288" s="129" t="s">
        <v>533</v>
      </c>
      <c r="C288" s="128">
        <v>5</v>
      </c>
      <c r="D288" s="128">
        <v>15</v>
      </c>
      <c r="E288" s="128">
        <v>9999</v>
      </c>
      <c r="F288" s="141" t="str">
        <f t="shared" si="12"/>
        <v>ITEM_NAME_515007</v>
      </c>
      <c r="G288" s="141" t="str">
        <f t="shared" si="13"/>
        <v>ITEM_ICON_515007</v>
      </c>
      <c r="H288" s="141" t="str">
        <f t="shared" si="14"/>
        <v>ITEM_DESC_515007</v>
      </c>
    </row>
    <row r="289" spans="1:8" ht="13.9" customHeight="1">
      <c r="A289" s="128">
        <f>C289*ID규칙_아이템_구분_단위+D289*ID규칙_아이템_타입_단위+COUNTIFS($C$4:C289,C289,$D$4:D289,D289)</f>
        <v>515008</v>
      </c>
      <c r="B289" s="129" t="s">
        <v>534</v>
      </c>
      <c r="C289" s="128">
        <v>5</v>
      </c>
      <c r="D289" s="128">
        <v>15</v>
      </c>
      <c r="E289" s="128">
        <v>9999</v>
      </c>
      <c r="F289" s="141" t="str">
        <f t="shared" si="12"/>
        <v>ITEM_NAME_515008</v>
      </c>
      <c r="G289" s="141" t="str">
        <f t="shared" si="13"/>
        <v>ITEM_ICON_515008</v>
      </c>
      <c r="H289" s="141" t="str">
        <f t="shared" si="14"/>
        <v>ITEM_DESC_515008</v>
      </c>
    </row>
    <row r="290" spans="1:8" ht="13.9" customHeight="1">
      <c r="A290" s="128">
        <f>C290*ID규칙_아이템_구분_단위+D290*ID규칙_아이템_타입_단위+COUNTIFS($C$4:C290,C290,$D$4:D290,D290)</f>
        <v>515009</v>
      </c>
      <c r="B290" s="129" t="s">
        <v>535</v>
      </c>
      <c r="C290" s="128">
        <v>5</v>
      </c>
      <c r="D290" s="128">
        <v>15</v>
      </c>
      <c r="E290" s="128">
        <v>9999</v>
      </c>
      <c r="F290" s="141" t="str">
        <f t="shared" si="12"/>
        <v>ITEM_NAME_515009</v>
      </c>
      <c r="G290" s="141" t="str">
        <f t="shared" si="13"/>
        <v>ITEM_ICON_515009</v>
      </c>
      <c r="H290" s="141" t="str">
        <f t="shared" si="14"/>
        <v>ITEM_DESC_515009</v>
      </c>
    </row>
    <row r="291" spans="1:8" ht="13.9" customHeight="1">
      <c r="A291" s="128">
        <f>C291*ID규칙_아이템_구분_단위+D291*ID규칙_아이템_타입_단위+COUNTIFS($C$4:C291,C291,$D$4:D291,D291)</f>
        <v>515010</v>
      </c>
      <c r="B291" s="129" t="s">
        <v>536</v>
      </c>
      <c r="C291" s="128">
        <v>5</v>
      </c>
      <c r="D291" s="128">
        <v>15</v>
      </c>
      <c r="E291" s="128">
        <v>9999</v>
      </c>
      <c r="F291" s="141" t="str">
        <f t="shared" si="12"/>
        <v>ITEM_NAME_515010</v>
      </c>
      <c r="G291" s="141" t="str">
        <f t="shared" si="13"/>
        <v>ITEM_ICON_515010</v>
      </c>
      <c r="H291" s="141" t="str">
        <f t="shared" si="14"/>
        <v>ITEM_DESC_515010</v>
      </c>
    </row>
    <row r="292" spans="1:8" ht="13.9" customHeight="1">
      <c r="A292" s="128">
        <f>C292*ID규칙_아이템_구분_단위+D292*ID규칙_아이템_타입_단위+COUNTIFS($C$4:C292,C292,$D$4:D292,D292)</f>
        <v>616001</v>
      </c>
      <c r="B292" s="129" t="s">
        <v>537</v>
      </c>
      <c r="C292" s="128">
        <v>6</v>
      </c>
      <c r="D292" s="128">
        <v>16</v>
      </c>
      <c r="E292" s="128">
        <v>9999</v>
      </c>
      <c r="F292" s="141" t="str">
        <f t="shared" si="12"/>
        <v>ITEM_NAME_616001</v>
      </c>
      <c r="G292" s="141" t="str">
        <f t="shared" si="13"/>
        <v>ITEM_ICON_616001</v>
      </c>
      <c r="H292" s="141" t="str">
        <f t="shared" si="14"/>
        <v>ITEM_DESC_616001</v>
      </c>
    </row>
    <row r="293" spans="1:8" ht="13.9" customHeight="1">
      <c r="A293" s="128">
        <f>C293*ID규칙_아이템_구분_단위+D293*ID규칙_아이템_타입_단위+COUNTIFS($C$4:C293,C293,$D$4:D293,D293)</f>
        <v>616002</v>
      </c>
      <c r="B293" s="129" t="s">
        <v>538</v>
      </c>
      <c r="C293" s="128">
        <v>6</v>
      </c>
      <c r="D293" s="128">
        <v>16</v>
      </c>
      <c r="E293" s="128">
        <v>9999</v>
      </c>
      <c r="F293" s="141" t="str">
        <f t="shared" si="12"/>
        <v>ITEM_NAME_616002</v>
      </c>
      <c r="G293" s="141" t="str">
        <f t="shared" si="13"/>
        <v>ITEM_ICON_616002</v>
      </c>
      <c r="H293" s="141" t="str">
        <f t="shared" si="14"/>
        <v>ITEM_DESC_616002</v>
      </c>
    </row>
    <row r="294" spans="1:8" ht="13.9" customHeight="1">
      <c r="A294" s="128">
        <f>C294*ID규칙_아이템_구분_단위+D294*ID규칙_아이템_타입_단위+COUNTIFS($C$4:C294,C294,$D$4:D294,D294)</f>
        <v>616003</v>
      </c>
      <c r="B294" s="129" t="s">
        <v>539</v>
      </c>
      <c r="C294" s="128">
        <v>6</v>
      </c>
      <c r="D294" s="128">
        <v>16</v>
      </c>
      <c r="E294" s="128">
        <v>9999</v>
      </c>
      <c r="F294" s="141" t="str">
        <f t="shared" si="12"/>
        <v>ITEM_NAME_616003</v>
      </c>
      <c r="G294" s="141" t="str">
        <f t="shared" si="13"/>
        <v>ITEM_ICON_616003</v>
      </c>
      <c r="H294" s="141" t="str">
        <f t="shared" si="14"/>
        <v>ITEM_DESC_616003</v>
      </c>
    </row>
    <row r="295" spans="1:8" ht="13.9" customHeight="1">
      <c r="A295" s="128">
        <f>C295*ID규칙_아이템_구분_단위+D295*ID규칙_아이템_타입_단위+COUNTIFS($C$4:C295,C295,$D$4:D295,D295)</f>
        <v>616004</v>
      </c>
      <c r="B295" s="129" t="s">
        <v>540</v>
      </c>
      <c r="C295" s="128">
        <v>6</v>
      </c>
      <c r="D295" s="128">
        <v>16</v>
      </c>
      <c r="E295" s="128">
        <v>9999</v>
      </c>
      <c r="F295" s="141" t="str">
        <f t="shared" si="12"/>
        <v>ITEM_NAME_616004</v>
      </c>
      <c r="G295" s="141" t="str">
        <f t="shared" si="13"/>
        <v>ITEM_ICON_616004</v>
      </c>
      <c r="H295" s="141" t="str">
        <f t="shared" si="14"/>
        <v>ITEM_DESC_616004</v>
      </c>
    </row>
    <row r="296" spans="1:8" ht="13.9" customHeight="1">
      <c r="A296" s="128">
        <f>C296*ID규칙_아이템_구분_단위+D296*ID규칙_아이템_타입_단위+COUNTIFS($C$4:C296,C296,$D$4:D296,D296)</f>
        <v>616005</v>
      </c>
      <c r="B296" s="129" t="s">
        <v>541</v>
      </c>
      <c r="C296" s="128">
        <v>6</v>
      </c>
      <c r="D296" s="128">
        <v>16</v>
      </c>
      <c r="E296" s="128">
        <v>9999</v>
      </c>
      <c r="F296" s="141" t="str">
        <f t="shared" si="12"/>
        <v>ITEM_NAME_616005</v>
      </c>
      <c r="G296" s="141" t="str">
        <f t="shared" si="13"/>
        <v>ITEM_ICON_616005</v>
      </c>
      <c r="H296" s="141" t="str">
        <f t="shared" si="14"/>
        <v>ITEM_DESC_616005</v>
      </c>
    </row>
    <row r="297" spans="1:8" ht="13.9" customHeight="1">
      <c r="A297" s="128">
        <f>C297*ID규칙_아이템_구분_단위+D297*ID규칙_아이템_타입_단위+COUNTIFS($C$4:C297,C297,$D$4:D297,D297)</f>
        <v>616006</v>
      </c>
      <c r="B297" s="129" t="s">
        <v>542</v>
      </c>
      <c r="C297" s="128">
        <v>6</v>
      </c>
      <c r="D297" s="128">
        <v>16</v>
      </c>
      <c r="E297" s="128">
        <v>9999</v>
      </c>
      <c r="F297" s="141" t="str">
        <f t="shared" si="12"/>
        <v>ITEM_NAME_616006</v>
      </c>
      <c r="G297" s="141" t="str">
        <f t="shared" si="13"/>
        <v>ITEM_ICON_616006</v>
      </c>
      <c r="H297" s="141" t="str">
        <f t="shared" si="14"/>
        <v>ITEM_DESC_616006</v>
      </c>
    </row>
    <row r="298" spans="1:8" ht="13.9" customHeight="1">
      <c r="A298" s="128">
        <f>C298*ID규칙_아이템_구분_단위+D298*ID규칙_아이템_타입_단위+COUNTIFS($C$4:C298,C298,$D$4:D298,D298)</f>
        <v>616007</v>
      </c>
      <c r="B298" s="129" t="s">
        <v>543</v>
      </c>
      <c r="C298" s="128">
        <v>6</v>
      </c>
      <c r="D298" s="128">
        <v>16</v>
      </c>
      <c r="E298" s="128">
        <v>9999</v>
      </c>
      <c r="F298" s="141" t="str">
        <f t="shared" si="12"/>
        <v>ITEM_NAME_616007</v>
      </c>
      <c r="G298" s="141" t="str">
        <f t="shared" si="13"/>
        <v>ITEM_ICON_616007</v>
      </c>
      <c r="H298" s="141" t="str">
        <f t="shared" si="14"/>
        <v>ITEM_DESC_616007</v>
      </c>
    </row>
    <row r="299" spans="1:8" ht="13.9" customHeight="1">
      <c r="A299" s="128">
        <f>C299*ID규칙_아이템_구분_단위+D299*ID규칙_아이템_타입_단위+COUNTIFS($C$4:C299,C299,$D$4:D299,D299)</f>
        <v>616008</v>
      </c>
      <c r="B299" s="129" t="s">
        <v>544</v>
      </c>
      <c r="C299" s="128">
        <v>6</v>
      </c>
      <c r="D299" s="128">
        <v>16</v>
      </c>
      <c r="E299" s="128">
        <v>9999</v>
      </c>
      <c r="F299" s="141" t="str">
        <f t="shared" si="12"/>
        <v>ITEM_NAME_616008</v>
      </c>
      <c r="G299" s="141" t="str">
        <f t="shared" si="13"/>
        <v>ITEM_ICON_616008</v>
      </c>
      <c r="H299" s="141" t="str">
        <f t="shared" si="14"/>
        <v>ITEM_DESC_616008</v>
      </c>
    </row>
    <row r="300" spans="1:8" ht="13.9" customHeight="1">
      <c r="A300" s="128">
        <f>C300*ID규칙_아이템_구분_단위+D300*ID규칙_아이템_타입_단위+COUNTIFS($C$4:C300,C300,$D$4:D300,D300)</f>
        <v>616009</v>
      </c>
      <c r="B300" s="129" t="s">
        <v>545</v>
      </c>
      <c r="C300" s="128">
        <v>6</v>
      </c>
      <c r="D300" s="128">
        <v>16</v>
      </c>
      <c r="E300" s="128">
        <v>9999</v>
      </c>
      <c r="F300" s="141" t="str">
        <f t="shared" si="12"/>
        <v>ITEM_NAME_616009</v>
      </c>
      <c r="G300" s="141" t="str">
        <f t="shared" si="13"/>
        <v>ITEM_ICON_616009</v>
      </c>
      <c r="H300" s="141" t="str">
        <f t="shared" si="14"/>
        <v>ITEM_DESC_616009</v>
      </c>
    </row>
    <row r="301" spans="1:8" ht="13.9" customHeight="1">
      <c r="A301" s="128">
        <f>C301*ID규칙_아이템_구분_단위+D301*ID규칙_아이템_타입_단위+COUNTIFS($C$4:C301,C301,$D$4:D301,D301)</f>
        <v>616010</v>
      </c>
      <c r="B301" s="129" t="s">
        <v>546</v>
      </c>
      <c r="C301" s="128">
        <v>6</v>
      </c>
      <c r="D301" s="128">
        <v>16</v>
      </c>
      <c r="E301" s="128">
        <v>9999</v>
      </c>
      <c r="F301" s="141" t="str">
        <f t="shared" si="12"/>
        <v>ITEM_NAME_616010</v>
      </c>
      <c r="G301" s="141" t="str">
        <f t="shared" si="13"/>
        <v>ITEM_ICON_616010</v>
      </c>
      <c r="H301" s="141" t="str">
        <f t="shared" si="14"/>
        <v>ITEM_DESC_616010</v>
      </c>
    </row>
    <row r="302" spans="1:8" ht="13.9" customHeight="1">
      <c r="A302" s="128">
        <f>C302*ID규칙_아이템_구분_단위+D302*ID규칙_아이템_타입_단위+COUNTIFS($C$4:C302,C302,$D$4:D302,D302)</f>
        <v>616011</v>
      </c>
      <c r="B302" s="129" t="s">
        <v>547</v>
      </c>
      <c r="C302" s="128">
        <v>6</v>
      </c>
      <c r="D302" s="128">
        <v>16</v>
      </c>
      <c r="E302" s="128">
        <v>9999</v>
      </c>
      <c r="F302" s="141" t="str">
        <f t="shared" si="12"/>
        <v>ITEM_NAME_616011</v>
      </c>
      <c r="G302" s="141" t="str">
        <f t="shared" si="13"/>
        <v>ITEM_ICON_616011</v>
      </c>
      <c r="H302" s="141" t="str">
        <f t="shared" si="14"/>
        <v>ITEM_DESC_616011</v>
      </c>
    </row>
    <row r="303" spans="1:8" ht="13.9" customHeight="1">
      <c r="A303" s="128">
        <f>C303*ID규칙_아이템_구분_단위+D303*ID규칙_아이템_타입_단위+COUNTIFS($C$4:C303,C303,$D$4:D303,D303)</f>
        <v>616012</v>
      </c>
      <c r="B303" s="129" t="s">
        <v>548</v>
      </c>
      <c r="C303" s="128">
        <v>6</v>
      </c>
      <c r="D303" s="128">
        <v>16</v>
      </c>
      <c r="E303" s="128">
        <v>9999</v>
      </c>
      <c r="F303" s="141" t="str">
        <f t="shared" si="12"/>
        <v>ITEM_NAME_616012</v>
      </c>
      <c r="G303" s="141" t="str">
        <f t="shared" si="13"/>
        <v>ITEM_ICON_616012</v>
      </c>
      <c r="H303" s="141" t="str">
        <f t="shared" si="14"/>
        <v>ITEM_DESC_616012</v>
      </c>
    </row>
    <row r="304" spans="1:8" ht="13.9" customHeight="1">
      <c r="A304" s="128">
        <f>C304*ID규칙_아이템_구분_단위+D304*ID규칙_아이템_타입_단위+COUNTIFS($C$4:C304,C304,$D$4:D304,D304)</f>
        <v>616013</v>
      </c>
      <c r="B304" s="129" t="s">
        <v>549</v>
      </c>
      <c r="C304" s="128">
        <v>6</v>
      </c>
      <c r="D304" s="128">
        <v>16</v>
      </c>
      <c r="E304" s="128">
        <v>9999</v>
      </c>
      <c r="F304" s="141" t="str">
        <f t="shared" si="12"/>
        <v>ITEM_NAME_616013</v>
      </c>
      <c r="G304" s="141" t="str">
        <f t="shared" si="13"/>
        <v>ITEM_ICON_616013</v>
      </c>
      <c r="H304" s="141" t="str">
        <f t="shared" si="14"/>
        <v>ITEM_DESC_616013</v>
      </c>
    </row>
    <row r="305" spans="1:8" ht="13.9" customHeight="1">
      <c r="A305" s="128">
        <f>C305*ID규칙_아이템_구분_단위+D305*ID규칙_아이템_타입_단위+COUNTIFS($C$4:C305,C305,$D$4:D305,D305)</f>
        <v>616014</v>
      </c>
      <c r="B305" s="129" t="s">
        <v>550</v>
      </c>
      <c r="C305" s="128">
        <v>6</v>
      </c>
      <c r="D305" s="128">
        <v>16</v>
      </c>
      <c r="E305" s="128">
        <v>9999</v>
      </c>
      <c r="F305" s="141" t="str">
        <f t="shared" si="12"/>
        <v>ITEM_NAME_616014</v>
      </c>
      <c r="G305" s="141" t="str">
        <f t="shared" si="13"/>
        <v>ITEM_ICON_616014</v>
      </c>
      <c r="H305" s="141" t="str">
        <f t="shared" si="14"/>
        <v>ITEM_DESC_616014</v>
      </c>
    </row>
    <row r="306" spans="1:8" ht="13.9" customHeight="1">
      <c r="A306" s="128">
        <f>C306*ID규칙_아이템_구분_단위+D306*ID규칙_아이템_타입_단위+COUNTIFS($C$4:C306,C306,$D$4:D306,D306)</f>
        <v>616015</v>
      </c>
      <c r="B306" s="129" t="s">
        <v>551</v>
      </c>
      <c r="C306" s="128">
        <v>6</v>
      </c>
      <c r="D306" s="128">
        <v>16</v>
      </c>
      <c r="E306" s="128">
        <v>9999</v>
      </c>
      <c r="F306" s="141" t="str">
        <f t="shared" si="12"/>
        <v>ITEM_NAME_616015</v>
      </c>
      <c r="G306" s="141" t="str">
        <f t="shared" si="13"/>
        <v>ITEM_ICON_616015</v>
      </c>
      <c r="H306" s="141" t="str">
        <f t="shared" si="14"/>
        <v>ITEM_DESC_616015</v>
      </c>
    </row>
    <row r="307" spans="1:8" ht="13.9" customHeight="1">
      <c r="A307" s="128">
        <f>C307*ID규칙_아이템_구분_단위+D307*ID규칙_아이템_타입_단위+COUNTIFS($C$4:C307,C307,$D$4:D307,D307)</f>
        <v>616016</v>
      </c>
      <c r="B307" s="129" t="s">
        <v>552</v>
      </c>
      <c r="C307" s="128">
        <v>6</v>
      </c>
      <c r="D307" s="128">
        <v>16</v>
      </c>
      <c r="E307" s="128">
        <v>9999</v>
      </c>
      <c r="F307" s="141" t="str">
        <f t="shared" si="12"/>
        <v>ITEM_NAME_616016</v>
      </c>
      <c r="G307" s="141" t="str">
        <f t="shared" si="13"/>
        <v>ITEM_ICON_616016</v>
      </c>
      <c r="H307" s="141" t="str">
        <f t="shared" si="14"/>
        <v>ITEM_DESC_616016</v>
      </c>
    </row>
    <row r="308" spans="1:8" ht="13.9" customHeight="1">
      <c r="A308" s="128">
        <f>C308*ID규칙_아이템_구분_단위+D308*ID규칙_아이템_타입_단위+COUNTIFS($C$4:C308,C308,$D$4:D308,D308)</f>
        <v>616017</v>
      </c>
      <c r="B308" s="129" t="s">
        <v>553</v>
      </c>
      <c r="C308" s="128">
        <v>6</v>
      </c>
      <c r="D308" s="128">
        <v>16</v>
      </c>
      <c r="E308" s="128">
        <v>9999</v>
      </c>
      <c r="F308" s="141" t="str">
        <f t="shared" si="12"/>
        <v>ITEM_NAME_616017</v>
      </c>
      <c r="G308" s="141" t="str">
        <f t="shared" si="13"/>
        <v>ITEM_ICON_616017</v>
      </c>
      <c r="H308" s="141" t="str">
        <f t="shared" si="14"/>
        <v>ITEM_DESC_616017</v>
      </c>
    </row>
    <row r="309" spans="1:8" ht="13.9" customHeight="1">
      <c r="A309" s="128">
        <f>C309*ID규칙_아이템_구분_단위+D309*ID규칙_아이템_타입_단위+COUNTIFS($C$4:C309,C309,$D$4:D309,D309)</f>
        <v>616018</v>
      </c>
      <c r="B309" s="129" t="s">
        <v>554</v>
      </c>
      <c r="C309" s="128">
        <v>6</v>
      </c>
      <c r="D309" s="128">
        <v>16</v>
      </c>
      <c r="E309" s="128">
        <v>9999</v>
      </c>
      <c r="F309" s="141" t="str">
        <f t="shared" si="12"/>
        <v>ITEM_NAME_616018</v>
      </c>
      <c r="G309" s="141" t="str">
        <f t="shared" si="13"/>
        <v>ITEM_ICON_616018</v>
      </c>
      <c r="H309" s="141" t="str">
        <f t="shared" si="14"/>
        <v>ITEM_DESC_616018</v>
      </c>
    </row>
    <row r="310" spans="1:8" ht="13.9" customHeight="1">
      <c r="A310" s="128">
        <f>C310*ID규칙_아이템_구분_단위+D310*ID규칙_아이템_타입_단위+COUNTIFS($C$4:C310,C310,$D$4:D310,D310)</f>
        <v>616019</v>
      </c>
      <c r="B310" s="129" t="s">
        <v>555</v>
      </c>
      <c r="C310" s="128">
        <v>6</v>
      </c>
      <c r="D310" s="128">
        <v>16</v>
      </c>
      <c r="E310" s="128">
        <v>9999</v>
      </c>
      <c r="F310" s="141" t="str">
        <f t="shared" si="12"/>
        <v>ITEM_NAME_616019</v>
      </c>
      <c r="G310" s="141" t="str">
        <f t="shared" si="13"/>
        <v>ITEM_ICON_616019</v>
      </c>
      <c r="H310" s="141" t="str">
        <f t="shared" si="14"/>
        <v>ITEM_DESC_616019</v>
      </c>
    </row>
    <row r="311" spans="1:8" ht="13.9" customHeight="1">
      <c r="A311" s="128">
        <f>C311*ID규칙_아이템_구분_단위+D311*ID규칙_아이템_타입_단위+COUNTIFS($C$4:C311,C311,$D$4:D311,D311)</f>
        <v>616020</v>
      </c>
      <c r="B311" s="129" t="s">
        <v>556</v>
      </c>
      <c r="C311" s="128">
        <v>6</v>
      </c>
      <c r="D311" s="128">
        <v>16</v>
      </c>
      <c r="E311" s="128">
        <v>9999</v>
      </c>
      <c r="F311" s="141" t="str">
        <f t="shared" si="12"/>
        <v>ITEM_NAME_616020</v>
      </c>
      <c r="G311" s="141" t="str">
        <f t="shared" si="13"/>
        <v>ITEM_ICON_616020</v>
      </c>
      <c r="H311" s="141" t="str">
        <f t="shared" si="14"/>
        <v>ITEM_DESC_616020</v>
      </c>
    </row>
    <row r="312" spans="1:8" ht="13.9" customHeight="1">
      <c r="A312" s="128">
        <f>C312*ID규칙_아이템_구분_단위+D312*ID규칙_아이템_타입_단위+COUNTIFS($C$4:C312,C312,$D$4:D312,D312)</f>
        <v>616021</v>
      </c>
      <c r="B312" s="129" t="s">
        <v>557</v>
      </c>
      <c r="C312" s="128">
        <v>6</v>
      </c>
      <c r="D312" s="128">
        <v>16</v>
      </c>
      <c r="E312" s="128">
        <v>9999</v>
      </c>
      <c r="F312" s="141" t="str">
        <f t="shared" si="12"/>
        <v>ITEM_NAME_616021</v>
      </c>
      <c r="G312" s="141" t="str">
        <f t="shared" si="13"/>
        <v>ITEM_ICON_616021</v>
      </c>
      <c r="H312" s="141" t="str">
        <f t="shared" si="14"/>
        <v>ITEM_DESC_616021</v>
      </c>
    </row>
    <row r="313" spans="1:8" ht="13.9" customHeight="1">
      <c r="A313" s="128">
        <f>C313*ID규칙_아이템_구분_단위+D313*ID규칙_아이템_타입_단위+COUNTIFS($C$4:C313,C313,$D$4:D313,D313)</f>
        <v>616022</v>
      </c>
      <c r="B313" s="129" t="s">
        <v>558</v>
      </c>
      <c r="C313" s="128">
        <v>6</v>
      </c>
      <c r="D313" s="128">
        <v>16</v>
      </c>
      <c r="E313" s="128">
        <v>9999</v>
      </c>
      <c r="F313" s="141" t="str">
        <f t="shared" si="12"/>
        <v>ITEM_NAME_616022</v>
      </c>
      <c r="G313" s="141" t="str">
        <f t="shared" si="13"/>
        <v>ITEM_ICON_616022</v>
      </c>
      <c r="H313" s="141" t="str">
        <f t="shared" si="14"/>
        <v>ITEM_DESC_616022</v>
      </c>
    </row>
    <row r="314" spans="1:8" ht="13.9" customHeight="1">
      <c r="A314" s="128">
        <f>C314*ID규칙_아이템_구분_단위+D314*ID규칙_아이템_타입_단위+COUNTIFS($C$4:C314,C314,$D$4:D314,D314)</f>
        <v>616023</v>
      </c>
      <c r="B314" s="129" t="s">
        <v>559</v>
      </c>
      <c r="C314" s="128">
        <v>6</v>
      </c>
      <c r="D314" s="128">
        <v>16</v>
      </c>
      <c r="E314" s="128">
        <v>9999</v>
      </c>
      <c r="F314" s="141" t="str">
        <f t="shared" si="12"/>
        <v>ITEM_NAME_616023</v>
      </c>
      <c r="G314" s="141" t="str">
        <f t="shared" si="13"/>
        <v>ITEM_ICON_616023</v>
      </c>
      <c r="H314" s="141" t="str">
        <f t="shared" si="14"/>
        <v>ITEM_DESC_616023</v>
      </c>
    </row>
    <row r="315" spans="1:8" ht="13.9" customHeight="1">
      <c r="A315" s="128">
        <f>C315*ID규칙_아이템_구분_단위+D315*ID규칙_아이템_타입_단위+COUNTIFS($C$4:C315,C315,$D$4:D315,D315)</f>
        <v>616024</v>
      </c>
      <c r="B315" s="129" t="s">
        <v>560</v>
      </c>
      <c r="C315" s="128">
        <v>6</v>
      </c>
      <c r="D315" s="128">
        <v>16</v>
      </c>
      <c r="E315" s="128">
        <v>9999</v>
      </c>
      <c r="F315" s="141" t="str">
        <f t="shared" si="12"/>
        <v>ITEM_NAME_616024</v>
      </c>
      <c r="G315" s="141" t="str">
        <f t="shared" si="13"/>
        <v>ITEM_ICON_616024</v>
      </c>
      <c r="H315" s="141" t="str">
        <f t="shared" si="14"/>
        <v>ITEM_DESC_616024</v>
      </c>
    </row>
    <row r="316" spans="1:8" ht="13.9" customHeight="1">
      <c r="A316" s="128">
        <f>C316*ID규칙_아이템_구분_단위+D316*ID규칙_아이템_타입_단위+COUNTIFS($C$4:C316,C316,$D$4:D316,D316)</f>
        <v>616025</v>
      </c>
      <c r="B316" s="129" t="s">
        <v>561</v>
      </c>
      <c r="C316" s="128">
        <v>6</v>
      </c>
      <c r="D316" s="128">
        <v>16</v>
      </c>
      <c r="E316" s="128">
        <v>9999</v>
      </c>
      <c r="F316" s="141" t="str">
        <f t="shared" si="12"/>
        <v>ITEM_NAME_616025</v>
      </c>
      <c r="G316" s="141" t="str">
        <f t="shared" si="13"/>
        <v>ITEM_ICON_616025</v>
      </c>
      <c r="H316" s="141" t="str">
        <f t="shared" si="14"/>
        <v>ITEM_DESC_616025</v>
      </c>
    </row>
    <row r="317" spans="1:8" ht="13.9" customHeight="1">
      <c r="A317" s="128">
        <f>C317*ID규칙_아이템_구분_단위+D317*ID규칙_아이템_타입_단위+COUNTIFS($C$4:C317,C317,$D$4:D317,D317)</f>
        <v>616026</v>
      </c>
      <c r="B317" s="129" t="s">
        <v>562</v>
      </c>
      <c r="C317" s="128">
        <v>6</v>
      </c>
      <c r="D317" s="128">
        <v>16</v>
      </c>
      <c r="E317" s="128">
        <v>9999</v>
      </c>
      <c r="F317" s="141" t="str">
        <f t="shared" si="12"/>
        <v>ITEM_NAME_616026</v>
      </c>
      <c r="G317" s="141" t="str">
        <f t="shared" si="13"/>
        <v>ITEM_ICON_616026</v>
      </c>
      <c r="H317" s="141" t="str">
        <f t="shared" si="14"/>
        <v>ITEM_DESC_616026</v>
      </c>
    </row>
    <row r="318" spans="1:8" ht="13.9" customHeight="1">
      <c r="A318" s="128">
        <f>C318*ID규칙_아이템_구분_단위+D318*ID규칙_아이템_타입_단위+COUNTIFS($C$4:C318,C318,$D$4:D318,D318)</f>
        <v>616027</v>
      </c>
      <c r="B318" s="129" t="s">
        <v>563</v>
      </c>
      <c r="C318" s="128">
        <v>6</v>
      </c>
      <c r="D318" s="128">
        <v>16</v>
      </c>
      <c r="E318" s="128">
        <v>9999</v>
      </c>
      <c r="F318" s="141" t="str">
        <f t="shared" si="12"/>
        <v>ITEM_NAME_616027</v>
      </c>
      <c r="G318" s="141" t="str">
        <f t="shared" si="13"/>
        <v>ITEM_ICON_616027</v>
      </c>
      <c r="H318" s="141" t="str">
        <f t="shared" si="14"/>
        <v>ITEM_DESC_616027</v>
      </c>
    </row>
    <row r="319" spans="1:8" ht="13.9" customHeight="1">
      <c r="A319" s="128">
        <f>C319*ID규칙_아이템_구분_단위+D319*ID규칙_아이템_타입_단위+COUNTIFS($C$4:C319,C319,$D$4:D319,D319)</f>
        <v>616028</v>
      </c>
      <c r="B319" s="129" t="s">
        <v>564</v>
      </c>
      <c r="C319" s="128">
        <v>6</v>
      </c>
      <c r="D319" s="128">
        <v>16</v>
      </c>
      <c r="E319" s="128">
        <v>9999</v>
      </c>
      <c r="F319" s="141" t="str">
        <f t="shared" si="12"/>
        <v>ITEM_NAME_616028</v>
      </c>
      <c r="G319" s="141" t="str">
        <f t="shared" si="13"/>
        <v>ITEM_ICON_616028</v>
      </c>
      <c r="H319" s="141" t="str">
        <f t="shared" si="14"/>
        <v>ITEM_DESC_616028</v>
      </c>
    </row>
    <row r="320" spans="1:8" ht="13.9" customHeight="1">
      <c r="A320" s="128">
        <f>C320*ID규칙_아이템_구분_단위+D320*ID규칙_아이템_타입_단위+COUNTIFS($C$4:C320,C320,$D$4:D320,D320)</f>
        <v>616029</v>
      </c>
      <c r="B320" s="129" t="s">
        <v>565</v>
      </c>
      <c r="C320" s="128">
        <v>6</v>
      </c>
      <c r="D320" s="128">
        <v>16</v>
      </c>
      <c r="E320" s="128">
        <v>9999</v>
      </c>
      <c r="F320" s="141" t="str">
        <f t="shared" si="12"/>
        <v>ITEM_NAME_616029</v>
      </c>
      <c r="G320" s="141" t="str">
        <f t="shared" si="13"/>
        <v>ITEM_ICON_616029</v>
      </c>
      <c r="H320" s="141" t="str">
        <f t="shared" si="14"/>
        <v>ITEM_DESC_616029</v>
      </c>
    </row>
    <row r="321" spans="1:8" ht="13.9" customHeight="1">
      <c r="A321" s="128">
        <f>C321*ID규칙_아이템_구분_단위+D321*ID규칙_아이템_타입_단위+COUNTIFS($C$4:C321,C321,$D$4:D321,D321)</f>
        <v>616030</v>
      </c>
      <c r="B321" s="129" t="s">
        <v>566</v>
      </c>
      <c r="C321" s="128">
        <v>6</v>
      </c>
      <c r="D321" s="128">
        <v>16</v>
      </c>
      <c r="E321" s="128">
        <v>9999</v>
      </c>
      <c r="F321" s="141" t="str">
        <f t="shared" si="12"/>
        <v>ITEM_NAME_616030</v>
      </c>
      <c r="G321" s="141" t="str">
        <f t="shared" si="13"/>
        <v>ITEM_ICON_616030</v>
      </c>
      <c r="H321" s="141" t="str">
        <f t="shared" si="14"/>
        <v>ITEM_DESC_616030</v>
      </c>
    </row>
    <row r="322" spans="1:8" ht="13.9" customHeight="1">
      <c r="A322" s="128">
        <f>C322*ID규칙_아이템_구분_단위+D322*ID규칙_아이템_타입_단위+COUNTIFS($C$4:C322,C322,$D$4:D322,D322)</f>
        <v>616031</v>
      </c>
      <c r="B322" s="129" t="s">
        <v>567</v>
      </c>
      <c r="C322" s="128">
        <v>6</v>
      </c>
      <c r="D322" s="128">
        <v>16</v>
      </c>
      <c r="E322" s="128">
        <v>9999</v>
      </c>
      <c r="F322" s="141" t="str">
        <f t="shared" si="12"/>
        <v>ITEM_NAME_616031</v>
      </c>
      <c r="G322" s="141" t="str">
        <f t="shared" si="13"/>
        <v>ITEM_ICON_616031</v>
      </c>
      <c r="H322" s="141" t="str">
        <f t="shared" si="14"/>
        <v>ITEM_DESC_616031</v>
      </c>
    </row>
    <row r="323" spans="1:8" ht="13.9" customHeight="1">
      <c r="A323" s="128">
        <f>C323*ID규칙_아이템_구분_단위+D323*ID규칙_아이템_타입_단위+COUNTIFS($C$4:C323,C323,$D$4:D323,D323)</f>
        <v>616032</v>
      </c>
      <c r="B323" s="129" t="s">
        <v>568</v>
      </c>
      <c r="C323" s="128">
        <v>6</v>
      </c>
      <c r="D323" s="128">
        <v>16</v>
      </c>
      <c r="E323" s="128">
        <v>9999</v>
      </c>
      <c r="F323" s="141" t="str">
        <f t="shared" si="12"/>
        <v>ITEM_NAME_616032</v>
      </c>
      <c r="G323" s="141" t="str">
        <f t="shared" si="13"/>
        <v>ITEM_ICON_616032</v>
      </c>
      <c r="H323" s="141" t="str">
        <f t="shared" si="14"/>
        <v>ITEM_DESC_616032</v>
      </c>
    </row>
    <row r="324" spans="1:8" ht="13.9" customHeight="1">
      <c r="A324" s="128">
        <f>C324*ID규칙_아이템_구분_단위+D324*ID규칙_아이템_타입_단위+COUNTIFS($C$4:C324,C324,$D$4:D324,D324)</f>
        <v>616033</v>
      </c>
      <c r="B324" s="129" t="s">
        <v>569</v>
      </c>
      <c r="C324" s="128">
        <v>6</v>
      </c>
      <c r="D324" s="128">
        <v>16</v>
      </c>
      <c r="E324" s="128">
        <v>9999</v>
      </c>
      <c r="F324" s="141" t="str">
        <f t="shared" si="12"/>
        <v>ITEM_NAME_616033</v>
      </c>
      <c r="G324" s="141" t="str">
        <f t="shared" si="13"/>
        <v>ITEM_ICON_616033</v>
      </c>
      <c r="H324" s="141" t="str">
        <f t="shared" si="14"/>
        <v>ITEM_DESC_616033</v>
      </c>
    </row>
    <row r="325" spans="1:8" ht="13.9" customHeight="1">
      <c r="A325" s="128">
        <f>C325*ID규칙_아이템_구분_단위+D325*ID규칙_아이템_타입_단위+COUNTIFS($C$4:C325,C325,$D$4:D325,D325)</f>
        <v>616034</v>
      </c>
      <c r="B325" s="129" t="s">
        <v>570</v>
      </c>
      <c r="C325" s="128">
        <v>6</v>
      </c>
      <c r="D325" s="128">
        <v>16</v>
      </c>
      <c r="E325" s="128">
        <v>9999</v>
      </c>
      <c r="F325" s="141" t="str">
        <f t="shared" ref="F325:F343" si="15">"ITEM_NAME_"&amp;A325</f>
        <v>ITEM_NAME_616034</v>
      </c>
      <c r="G325" s="141" t="str">
        <f t="shared" ref="G325:G343" si="16">"ITEM_ICON_"&amp;A325</f>
        <v>ITEM_ICON_616034</v>
      </c>
      <c r="H325" s="141" t="str">
        <f t="shared" ref="H325:H343" si="17">"ITEM_DESC_"&amp;A325</f>
        <v>ITEM_DESC_616034</v>
      </c>
    </row>
    <row r="326" spans="1:8" ht="13.9" customHeight="1">
      <c r="A326" s="128">
        <f>C326*ID규칙_아이템_구분_단위+D326*ID규칙_아이템_타입_단위+COUNTIFS($C$4:C326,C326,$D$4:D326,D326)</f>
        <v>616035</v>
      </c>
      <c r="B326" s="129" t="s">
        <v>571</v>
      </c>
      <c r="C326" s="128">
        <v>6</v>
      </c>
      <c r="D326" s="128">
        <v>16</v>
      </c>
      <c r="E326" s="128">
        <v>9999</v>
      </c>
      <c r="F326" s="141" t="str">
        <f t="shared" si="15"/>
        <v>ITEM_NAME_616035</v>
      </c>
      <c r="G326" s="141" t="str">
        <f t="shared" si="16"/>
        <v>ITEM_ICON_616035</v>
      </c>
      <c r="H326" s="141" t="str">
        <f t="shared" si="17"/>
        <v>ITEM_DESC_616035</v>
      </c>
    </row>
    <row r="327" spans="1:8" ht="13.9" customHeight="1">
      <c r="A327" s="128">
        <f>C327*ID규칙_아이템_구분_단위+D327*ID규칙_아이템_타입_단위+COUNTIFS($C$4:C327,C327,$D$4:D327,D327)</f>
        <v>616036</v>
      </c>
      <c r="B327" s="129" t="s">
        <v>572</v>
      </c>
      <c r="C327" s="128">
        <v>6</v>
      </c>
      <c r="D327" s="128">
        <v>16</v>
      </c>
      <c r="E327" s="128">
        <v>9999</v>
      </c>
      <c r="F327" s="141" t="str">
        <f t="shared" si="15"/>
        <v>ITEM_NAME_616036</v>
      </c>
      <c r="G327" s="141" t="str">
        <f t="shared" si="16"/>
        <v>ITEM_ICON_616036</v>
      </c>
      <c r="H327" s="141" t="str">
        <f t="shared" si="17"/>
        <v>ITEM_DESC_616036</v>
      </c>
    </row>
    <row r="328" spans="1:8" ht="13.9" customHeight="1">
      <c r="A328" s="128">
        <f>C328*ID규칙_아이템_구분_단위+D328*ID규칙_아이템_타입_단위+COUNTIFS($C$4:C328,C328,$D$4:D328,D328)</f>
        <v>616037</v>
      </c>
      <c r="B328" s="129" t="s">
        <v>573</v>
      </c>
      <c r="C328" s="128">
        <v>6</v>
      </c>
      <c r="D328" s="128">
        <v>16</v>
      </c>
      <c r="E328" s="128">
        <v>9999</v>
      </c>
      <c r="F328" s="141" t="str">
        <f t="shared" si="15"/>
        <v>ITEM_NAME_616037</v>
      </c>
      <c r="G328" s="141" t="str">
        <f t="shared" si="16"/>
        <v>ITEM_ICON_616037</v>
      </c>
      <c r="H328" s="141" t="str">
        <f t="shared" si="17"/>
        <v>ITEM_DESC_616037</v>
      </c>
    </row>
    <row r="329" spans="1:8" ht="13.9" customHeight="1">
      <c r="A329" s="128">
        <f>C329*ID규칙_아이템_구분_단위+D329*ID규칙_아이템_타입_단위+COUNTIFS($C$4:C329,C329,$D$4:D329,D329)</f>
        <v>616038</v>
      </c>
      <c r="B329" s="129" t="s">
        <v>574</v>
      </c>
      <c r="C329" s="128">
        <v>6</v>
      </c>
      <c r="D329" s="128">
        <v>16</v>
      </c>
      <c r="E329" s="128">
        <v>9999</v>
      </c>
      <c r="F329" s="141" t="str">
        <f t="shared" si="15"/>
        <v>ITEM_NAME_616038</v>
      </c>
      <c r="G329" s="141" t="str">
        <f t="shared" si="16"/>
        <v>ITEM_ICON_616038</v>
      </c>
      <c r="H329" s="141" t="str">
        <f t="shared" si="17"/>
        <v>ITEM_DESC_616038</v>
      </c>
    </row>
    <row r="330" spans="1:8" ht="13.9" customHeight="1">
      <c r="A330" s="128">
        <f>C330*ID규칙_아이템_구분_단위+D330*ID규칙_아이템_타입_단위+COUNTIFS($C$4:C330,C330,$D$4:D330,D330)</f>
        <v>616039</v>
      </c>
      <c r="B330" s="129" t="s">
        <v>575</v>
      </c>
      <c r="C330" s="128">
        <v>6</v>
      </c>
      <c r="D330" s="128">
        <v>16</v>
      </c>
      <c r="E330" s="128">
        <v>9999</v>
      </c>
      <c r="F330" s="141" t="str">
        <f t="shared" si="15"/>
        <v>ITEM_NAME_616039</v>
      </c>
      <c r="G330" s="141" t="str">
        <f t="shared" si="16"/>
        <v>ITEM_ICON_616039</v>
      </c>
      <c r="H330" s="141" t="str">
        <f t="shared" si="17"/>
        <v>ITEM_DESC_616039</v>
      </c>
    </row>
    <row r="331" spans="1:8" ht="13.9" customHeight="1">
      <c r="A331" s="128">
        <f>C331*ID규칙_아이템_구분_단위+D331*ID규칙_아이템_타입_단위+COUNTIFS($C$4:C331,C331,$D$4:D331,D331)</f>
        <v>616040</v>
      </c>
      <c r="B331" s="129" t="s">
        <v>576</v>
      </c>
      <c r="C331" s="128">
        <v>6</v>
      </c>
      <c r="D331" s="128">
        <v>16</v>
      </c>
      <c r="E331" s="128">
        <v>9999</v>
      </c>
      <c r="F331" s="141" t="str">
        <f t="shared" si="15"/>
        <v>ITEM_NAME_616040</v>
      </c>
      <c r="G331" s="141" t="str">
        <f t="shared" si="16"/>
        <v>ITEM_ICON_616040</v>
      </c>
      <c r="H331" s="141" t="str">
        <f t="shared" si="17"/>
        <v>ITEM_DESC_616040</v>
      </c>
    </row>
    <row r="332" spans="1:8" ht="13.9" customHeight="1">
      <c r="A332" s="128">
        <f>C332*ID규칙_아이템_구분_단위+D332*ID규칙_아이템_타입_단위+COUNTIFS($C$4:C332,C332,$D$4:D332,D332)</f>
        <v>616041</v>
      </c>
      <c r="B332" s="129" t="s">
        <v>577</v>
      </c>
      <c r="C332" s="128">
        <v>6</v>
      </c>
      <c r="D332" s="128">
        <v>16</v>
      </c>
      <c r="E332" s="128">
        <v>9999</v>
      </c>
      <c r="F332" s="141" t="str">
        <f t="shared" si="15"/>
        <v>ITEM_NAME_616041</v>
      </c>
      <c r="G332" s="141" t="str">
        <f t="shared" si="16"/>
        <v>ITEM_ICON_616041</v>
      </c>
      <c r="H332" s="141" t="str">
        <f t="shared" si="17"/>
        <v>ITEM_DESC_616041</v>
      </c>
    </row>
    <row r="333" spans="1:8" ht="13.9" customHeight="1">
      <c r="A333" s="128">
        <f>C333*ID규칙_아이템_구분_단위+D333*ID규칙_아이템_타입_단위+COUNTIFS($C$4:C333,C333,$D$4:D333,D333)</f>
        <v>616042</v>
      </c>
      <c r="B333" s="129" t="s">
        <v>578</v>
      </c>
      <c r="C333" s="128">
        <v>6</v>
      </c>
      <c r="D333" s="128">
        <v>16</v>
      </c>
      <c r="E333" s="128">
        <v>9999</v>
      </c>
      <c r="F333" s="141" t="str">
        <f t="shared" si="15"/>
        <v>ITEM_NAME_616042</v>
      </c>
      <c r="G333" s="141" t="str">
        <f t="shared" si="16"/>
        <v>ITEM_ICON_616042</v>
      </c>
      <c r="H333" s="141" t="str">
        <f t="shared" si="17"/>
        <v>ITEM_DESC_616042</v>
      </c>
    </row>
    <row r="334" spans="1:8" ht="13.9" customHeight="1">
      <c r="A334" s="128">
        <f>C334*ID규칙_아이템_구분_단위+D334*ID규칙_아이템_타입_단위+COUNTIFS($C$4:C334,C334,$D$4:D334,D334)</f>
        <v>616043</v>
      </c>
      <c r="B334" s="129" t="s">
        <v>579</v>
      </c>
      <c r="C334" s="128">
        <v>6</v>
      </c>
      <c r="D334" s="128">
        <v>16</v>
      </c>
      <c r="E334" s="128">
        <v>9999</v>
      </c>
      <c r="F334" s="141" t="str">
        <f t="shared" si="15"/>
        <v>ITEM_NAME_616043</v>
      </c>
      <c r="G334" s="141" t="str">
        <f t="shared" si="16"/>
        <v>ITEM_ICON_616043</v>
      </c>
      <c r="H334" s="141" t="str">
        <f t="shared" si="17"/>
        <v>ITEM_DESC_616043</v>
      </c>
    </row>
    <row r="335" spans="1:8" ht="13.9" customHeight="1">
      <c r="A335" s="128">
        <f>C335*ID규칙_아이템_구분_단위+D335*ID규칙_아이템_타입_단위+COUNTIFS($C$4:C335,C335,$D$4:D335,D335)</f>
        <v>616044</v>
      </c>
      <c r="B335" s="129" t="s">
        <v>580</v>
      </c>
      <c r="C335" s="128">
        <v>6</v>
      </c>
      <c r="D335" s="128">
        <v>16</v>
      </c>
      <c r="E335" s="128">
        <v>9999</v>
      </c>
      <c r="F335" s="141" t="str">
        <f t="shared" si="15"/>
        <v>ITEM_NAME_616044</v>
      </c>
      <c r="G335" s="141" t="str">
        <f t="shared" si="16"/>
        <v>ITEM_ICON_616044</v>
      </c>
      <c r="H335" s="141" t="str">
        <f t="shared" si="17"/>
        <v>ITEM_DESC_616044</v>
      </c>
    </row>
    <row r="336" spans="1:8" ht="13.9" customHeight="1">
      <c r="A336" s="128">
        <f>C336*ID규칙_아이템_구분_단위+D336*ID규칙_아이템_타입_단위+COUNTIFS($C$4:C336,C336,$D$4:D336,D336)</f>
        <v>616045</v>
      </c>
      <c r="B336" s="129" t="s">
        <v>581</v>
      </c>
      <c r="C336" s="128">
        <v>6</v>
      </c>
      <c r="D336" s="128">
        <v>16</v>
      </c>
      <c r="E336" s="128">
        <v>9999</v>
      </c>
      <c r="F336" s="141" t="str">
        <f t="shared" si="15"/>
        <v>ITEM_NAME_616045</v>
      </c>
      <c r="G336" s="141" t="str">
        <f t="shared" si="16"/>
        <v>ITEM_ICON_616045</v>
      </c>
      <c r="H336" s="141" t="str">
        <f t="shared" si="17"/>
        <v>ITEM_DESC_616045</v>
      </c>
    </row>
    <row r="337" spans="1:8" ht="13.9" customHeight="1">
      <c r="A337" s="128">
        <f>C337*ID규칙_아이템_구분_단위+D337*ID규칙_아이템_타입_단위+COUNTIFS($C$4:C337,C337,$D$4:D337,D337)</f>
        <v>616046</v>
      </c>
      <c r="B337" s="129" t="s">
        <v>582</v>
      </c>
      <c r="C337" s="128">
        <v>6</v>
      </c>
      <c r="D337" s="128">
        <v>16</v>
      </c>
      <c r="E337" s="128">
        <v>9999</v>
      </c>
      <c r="F337" s="141" t="str">
        <f t="shared" si="15"/>
        <v>ITEM_NAME_616046</v>
      </c>
      <c r="G337" s="141" t="str">
        <f t="shared" si="16"/>
        <v>ITEM_ICON_616046</v>
      </c>
      <c r="H337" s="141" t="str">
        <f t="shared" si="17"/>
        <v>ITEM_DESC_616046</v>
      </c>
    </row>
    <row r="338" spans="1:8" ht="13.9" customHeight="1">
      <c r="A338" s="128">
        <f>C338*ID규칙_아이템_구분_단위+D338*ID규칙_아이템_타입_단위+COUNTIFS($C$4:C338,C338,$D$4:D338,D338)</f>
        <v>616047</v>
      </c>
      <c r="B338" s="129" t="s">
        <v>583</v>
      </c>
      <c r="C338" s="128">
        <v>6</v>
      </c>
      <c r="D338" s="128">
        <v>16</v>
      </c>
      <c r="E338" s="128">
        <v>9999</v>
      </c>
      <c r="F338" s="141" t="str">
        <f t="shared" si="15"/>
        <v>ITEM_NAME_616047</v>
      </c>
      <c r="G338" s="141" t="str">
        <f t="shared" si="16"/>
        <v>ITEM_ICON_616047</v>
      </c>
      <c r="H338" s="141" t="str">
        <f t="shared" si="17"/>
        <v>ITEM_DESC_616047</v>
      </c>
    </row>
    <row r="339" spans="1:8" ht="13.9" customHeight="1">
      <c r="A339" s="128">
        <f>C339*ID규칙_아이템_구분_단위+D339*ID규칙_아이템_타입_단위+COUNTIFS($C$4:C339,C339,$D$4:D339,D339)</f>
        <v>616048</v>
      </c>
      <c r="B339" s="129" t="s">
        <v>584</v>
      </c>
      <c r="C339" s="128">
        <v>6</v>
      </c>
      <c r="D339" s="128">
        <v>16</v>
      </c>
      <c r="E339" s="128">
        <v>9999</v>
      </c>
      <c r="F339" s="141" t="str">
        <f t="shared" si="15"/>
        <v>ITEM_NAME_616048</v>
      </c>
      <c r="G339" s="141" t="str">
        <f t="shared" si="16"/>
        <v>ITEM_ICON_616048</v>
      </c>
      <c r="H339" s="141" t="str">
        <f t="shared" si="17"/>
        <v>ITEM_DESC_616048</v>
      </c>
    </row>
    <row r="340" spans="1:8" ht="13.9" customHeight="1">
      <c r="A340" s="128">
        <f>C340*ID규칙_아이템_구분_단위+D340*ID규칙_아이템_타입_단위+COUNTIFS($C$4:C340,C340,$D$4:D340,D340)</f>
        <v>616049</v>
      </c>
      <c r="B340" s="129" t="s">
        <v>585</v>
      </c>
      <c r="C340" s="128">
        <v>6</v>
      </c>
      <c r="D340" s="128">
        <v>16</v>
      </c>
      <c r="E340" s="128">
        <v>9999</v>
      </c>
      <c r="F340" s="141" t="str">
        <f t="shared" si="15"/>
        <v>ITEM_NAME_616049</v>
      </c>
      <c r="G340" s="141" t="str">
        <f t="shared" si="16"/>
        <v>ITEM_ICON_616049</v>
      </c>
      <c r="H340" s="141" t="str">
        <f t="shared" si="17"/>
        <v>ITEM_DESC_616049</v>
      </c>
    </row>
    <row r="341" spans="1:8" ht="13.9" customHeight="1">
      <c r="A341" s="128">
        <f>C341*ID규칙_아이템_구분_단위+D341*ID규칙_아이템_타입_단위+COUNTIFS($C$4:C341,C341,$D$4:D341,D341)</f>
        <v>616050</v>
      </c>
      <c r="B341" s="129" t="s">
        <v>586</v>
      </c>
      <c r="C341" s="128">
        <v>6</v>
      </c>
      <c r="D341" s="128">
        <v>16</v>
      </c>
      <c r="E341" s="128">
        <v>9999</v>
      </c>
      <c r="F341" s="141" t="str">
        <f t="shared" si="15"/>
        <v>ITEM_NAME_616050</v>
      </c>
      <c r="G341" s="141" t="str">
        <f t="shared" si="16"/>
        <v>ITEM_ICON_616050</v>
      </c>
      <c r="H341" s="141" t="str">
        <f t="shared" si="17"/>
        <v>ITEM_DESC_616050</v>
      </c>
    </row>
    <row r="342" spans="1:8" ht="13.9" customHeight="1">
      <c r="A342" s="128">
        <f>C342*ID규칙_아이템_구분_단위+D342*ID규칙_아이템_타입_단위+COUNTIFS($C$4:C342,C342,$D$4:D342,D342)</f>
        <v>616051</v>
      </c>
      <c r="B342" s="129" t="s">
        <v>587</v>
      </c>
      <c r="C342" s="128">
        <v>6</v>
      </c>
      <c r="D342" s="128">
        <v>16</v>
      </c>
      <c r="E342" s="128">
        <v>9999</v>
      </c>
      <c r="F342" s="141" t="str">
        <f t="shared" si="15"/>
        <v>ITEM_NAME_616051</v>
      </c>
      <c r="G342" s="141" t="str">
        <f t="shared" si="16"/>
        <v>ITEM_ICON_616051</v>
      </c>
      <c r="H342" s="141" t="str">
        <f t="shared" si="17"/>
        <v>ITEM_DESC_616051</v>
      </c>
    </row>
    <row r="343" spans="1:8" ht="13.9" customHeight="1">
      <c r="A343" s="128">
        <f>C343*ID규칙_아이템_구분_단위+D343*ID규칙_아이템_타입_단위+COUNTIFS($C$4:C343,C343,$D$4:D343,D343)</f>
        <v>616052</v>
      </c>
      <c r="B343" s="129" t="s">
        <v>588</v>
      </c>
      <c r="C343" s="128">
        <v>6</v>
      </c>
      <c r="D343" s="128">
        <v>16</v>
      </c>
      <c r="E343" s="128">
        <v>9999</v>
      </c>
      <c r="F343" s="141" t="str">
        <f t="shared" si="15"/>
        <v>ITEM_NAME_616052</v>
      </c>
      <c r="G343" s="141" t="str">
        <f t="shared" si="16"/>
        <v>ITEM_ICON_616052</v>
      </c>
      <c r="H343" s="141" t="str">
        <f t="shared" si="17"/>
        <v>ITEM_DESC_616052</v>
      </c>
    </row>
    <row r="344" spans="1:8" ht="13.9" customHeight="1">
      <c r="A344" s="135">
        <f>C344*ID규칙_아이템_구분_단위+D344*ID규칙_아이템_타입_단위+COUNTIFS($C$4:C344,C344,$D$4:D344,D344)</f>
        <v>1717001</v>
      </c>
      <c r="B344" s="129" t="s">
        <v>620</v>
      </c>
      <c r="C344" s="128">
        <v>17</v>
      </c>
      <c r="D344" s="128">
        <v>17</v>
      </c>
      <c r="E344" s="128">
        <v>999999</v>
      </c>
    </row>
    <row r="345" spans="1:8" ht="13.9" customHeight="1">
      <c r="A345" s="135">
        <f>C345*ID규칙_아이템_구분_단위+D345*ID규칙_아이템_타입_단위+COUNTIFS($C$4:C345,C345,$D$4:D345,D345)</f>
        <v>1717002</v>
      </c>
      <c r="B345" s="129" t="s">
        <v>81</v>
      </c>
      <c r="C345" s="128">
        <v>17</v>
      </c>
      <c r="D345" s="128">
        <v>17</v>
      </c>
      <c r="E345" s="128">
        <v>2100000000</v>
      </c>
    </row>
    <row r="346" spans="1:8" ht="13.9" customHeight="1">
      <c r="A346" s="135">
        <f>C346*ID규칙_아이템_구분_단위+D346*ID규칙_아이템_타입_단위+COUNTIFS($C$4:C346,C346,$D$4:D346,D346)</f>
        <v>1717003</v>
      </c>
      <c r="B346" s="129" t="s">
        <v>82</v>
      </c>
      <c r="C346" s="128">
        <v>17</v>
      </c>
      <c r="D346" s="128">
        <v>17</v>
      </c>
      <c r="E346" s="128">
        <v>999999</v>
      </c>
    </row>
    <row r="350" spans="1:8" ht="13.9" customHeight="1">
      <c r="C350" s="130"/>
    </row>
    <row r="351" spans="1:8" ht="13.9" customHeight="1">
      <c r="C351" s="130"/>
    </row>
    <row r="352" spans="1:8" ht="13.9" customHeight="1">
      <c r="C352" s="130"/>
    </row>
    <row r="353" spans="3:3" ht="13.9" customHeight="1">
      <c r="C353" s="130"/>
    </row>
    <row r="354" spans="3:3" ht="13.9" customHeight="1">
      <c r="C354" s="130"/>
    </row>
    <row r="355" spans="3:3" ht="13.9" customHeight="1">
      <c r="C355" s="130"/>
    </row>
    <row r="356" spans="3:3" ht="13.9" customHeight="1">
      <c r="C356" s="130"/>
    </row>
    <row r="357" spans="3:3" ht="13.9" customHeight="1">
      <c r="C357" s="130"/>
    </row>
    <row r="358" spans="3:3" ht="13.9" customHeight="1">
      <c r="C358" s="130"/>
    </row>
    <row r="359" spans="3:3" ht="13.9" customHeight="1">
      <c r="C359" s="130"/>
    </row>
    <row r="360" spans="3:3" ht="13.9" customHeight="1">
      <c r="C360" s="130"/>
    </row>
    <row r="361" spans="3:3" ht="13.9" customHeight="1">
      <c r="C361" s="130"/>
    </row>
    <row r="362" spans="3:3" ht="13.9" customHeight="1">
      <c r="C362" s="130"/>
    </row>
    <row r="363" spans="3:3" ht="13.9" customHeight="1">
      <c r="C363" s="130"/>
    </row>
    <row r="364" spans="3:3" ht="13.9" customHeight="1">
      <c r="C364" s="130"/>
    </row>
    <row r="365" spans="3:3" ht="13.9" customHeight="1">
      <c r="C365" s="130"/>
    </row>
    <row r="366" spans="3:3" ht="13.9" customHeight="1">
      <c r="C366" s="130"/>
    </row>
    <row r="367" spans="3:3" ht="13.9" customHeight="1">
      <c r="C367" s="130"/>
    </row>
    <row r="368" spans="3:3" ht="13.9" customHeight="1">
      <c r="C368" s="130"/>
    </row>
    <row r="369" spans="3:3" ht="13.9" customHeight="1">
      <c r="C369" s="130"/>
    </row>
    <row r="370" spans="3:3" ht="13.9" customHeight="1">
      <c r="C370" s="130"/>
    </row>
    <row r="371" spans="3:3" ht="13.9" customHeight="1">
      <c r="C371" s="130"/>
    </row>
    <row r="372" spans="3:3" ht="13.9" customHeight="1">
      <c r="C372" s="130"/>
    </row>
    <row r="373" spans="3:3" ht="13.9" customHeight="1">
      <c r="C373" s="130"/>
    </row>
    <row r="374" spans="3:3" ht="13.9" customHeight="1">
      <c r="C374" s="130"/>
    </row>
    <row r="375" spans="3:3" ht="13.9" customHeight="1">
      <c r="C375" s="130"/>
    </row>
    <row r="376" spans="3:3" ht="13.9" customHeight="1">
      <c r="C376" s="130"/>
    </row>
    <row r="377" spans="3:3" ht="13.9" customHeight="1">
      <c r="C377" s="130"/>
    </row>
    <row r="378" spans="3:3" ht="13.9" customHeight="1">
      <c r="C378" s="130"/>
    </row>
    <row r="379" spans="3:3" ht="13.9" customHeight="1">
      <c r="C379" s="130"/>
    </row>
    <row r="380" spans="3:3" ht="13.9" customHeight="1">
      <c r="C380" s="130"/>
    </row>
    <row r="381" spans="3:3" ht="13.9" customHeight="1">
      <c r="C381" s="130"/>
    </row>
    <row r="382" spans="3:3" ht="13.9" customHeight="1">
      <c r="C382" s="130"/>
    </row>
    <row r="383" spans="3:3" ht="13.9" customHeight="1">
      <c r="C383" s="130"/>
    </row>
    <row r="384" spans="3:3" ht="13.9" customHeight="1">
      <c r="C384" s="130"/>
    </row>
    <row r="385" spans="3:3" ht="13.9" customHeight="1">
      <c r="C385" s="130"/>
    </row>
    <row r="386" spans="3:3" ht="13.9" customHeight="1">
      <c r="C386" s="130"/>
    </row>
    <row r="387" spans="3:3" ht="13.9" customHeight="1">
      <c r="C387" s="130"/>
    </row>
    <row r="388" spans="3:3" ht="13.9" customHeight="1">
      <c r="C388" s="130"/>
    </row>
    <row r="389" spans="3:3" ht="13.9" customHeight="1">
      <c r="C389" s="130"/>
    </row>
    <row r="390" spans="3:3" ht="13.9" customHeight="1">
      <c r="C390" s="130"/>
    </row>
    <row r="391" spans="3:3" ht="13.9" customHeight="1">
      <c r="C391" s="130"/>
    </row>
    <row r="392" spans="3:3" ht="13.9" customHeight="1">
      <c r="C392" s="130"/>
    </row>
    <row r="393" spans="3:3" ht="13.9" customHeight="1">
      <c r="C393" s="130"/>
    </row>
    <row r="394" spans="3:3" ht="13.9" customHeight="1">
      <c r="C394" s="130"/>
    </row>
    <row r="395" spans="3:3" ht="13.9" customHeight="1">
      <c r="C395" s="130"/>
    </row>
    <row r="396" spans="3:3" ht="13.9" customHeight="1">
      <c r="C396" s="130"/>
    </row>
    <row r="397" spans="3:3" ht="13.9" customHeight="1">
      <c r="C397" s="130"/>
    </row>
    <row r="398" spans="3:3" ht="13.9" customHeight="1">
      <c r="C398" s="130"/>
    </row>
    <row r="399" spans="3:3" ht="13.9" customHeight="1">
      <c r="C399" s="130"/>
    </row>
    <row r="400" spans="3:3" ht="13.9" customHeight="1">
      <c r="C400" s="130"/>
    </row>
    <row r="401" spans="3:3" ht="13.9" customHeight="1">
      <c r="C401" s="130"/>
    </row>
    <row r="402" spans="3:3" ht="13.9" customHeight="1">
      <c r="C402" s="130"/>
    </row>
    <row r="403" spans="3:3" ht="13.9" customHeight="1">
      <c r="C403" s="130"/>
    </row>
    <row r="404" spans="3:3" ht="13.9" customHeight="1">
      <c r="C404" s="130"/>
    </row>
    <row r="405" spans="3:3" ht="13.9" customHeight="1">
      <c r="C405" s="130"/>
    </row>
    <row r="406" spans="3:3" ht="13.9" customHeight="1">
      <c r="C406" s="130"/>
    </row>
    <row r="407" spans="3:3" ht="13.9" customHeight="1">
      <c r="C407" s="130"/>
    </row>
    <row r="408" spans="3:3" ht="13.9" customHeight="1">
      <c r="C408" s="130"/>
    </row>
    <row r="409" spans="3:3" ht="13.9" customHeight="1">
      <c r="C409" s="130"/>
    </row>
    <row r="410" spans="3:3" ht="13.9" customHeight="1">
      <c r="C410" s="130"/>
    </row>
    <row r="411" spans="3:3" ht="13.9" customHeight="1">
      <c r="C411" s="130"/>
    </row>
    <row r="412" spans="3:3" ht="13.9" customHeight="1">
      <c r="C412" s="130"/>
    </row>
    <row r="413" spans="3:3" ht="13.9" customHeight="1">
      <c r="C413" s="130"/>
    </row>
    <row r="414" spans="3:3" ht="13.9" customHeight="1">
      <c r="C414" s="130"/>
    </row>
    <row r="415" spans="3:3" ht="13.9" customHeight="1">
      <c r="C415" s="130"/>
    </row>
    <row r="416" spans="3:3" ht="13.9" customHeight="1">
      <c r="C416" s="130"/>
    </row>
    <row r="417" spans="3:3" ht="13.9" customHeight="1">
      <c r="C417" s="130"/>
    </row>
    <row r="418" spans="3:3" ht="13.9" customHeight="1">
      <c r="C418" s="130"/>
    </row>
    <row r="419" spans="3:3" ht="13.9" customHeight="1">
      <c r="C419" s="130"/>
    </row>
    <row r="420" spans="3:3" ht="13.9" customHeight="1">
      <c r="C420" s="130"/>
    </row>
    <row r="421" spans="3:3" ht="13.9" customHeight="1">
      <c r="C421" s="130"/>
    </row>
    <row r="422" spans="3:3" ht="13.9" customHeight="1">
      <c r="C422" s="130"/>
    </row>
    <row r="423" spans="3:3" ht="13.9" customHeight="1">
      <c r="C423" s="130"/>
    </row>
    <row r="424" spans="3:3" ht="13.9" customHeight="1">
      <c r="C424" s="130"/>
    </row>
    <row r="425" spans="3:3" ht="13.9" customHeight="1">
      <c r="C425" s="130"/>
    </row>
    <row r="426" spans="3:3" ht="13.9" customHeight="1">
      <c r="C426" s="130"/>
    </row>
    <row r="427" spans="3:3" ht="13.9" customHeight="1">
      <c r="C427" s="130"/>
    </row>
    <row r="428" spans="3:3" ht="13.9" customHeight="1">
      <c r="C428" s="130"/>
    </row>
    <row r="429" spans="3:3" ht="13.9" customHeight="1">
      <c r="C429" s="130"/>
    </row>
    <row r="430" spans="3:3" ht="13.9" customHeight="1">
      <c r="C430" s="130"/>
    </row>
    <row r="431" spans="3:3" ht="13.9" customHeight="1">
      <c r="C431" s="130"/>
    </row>
    <row r="432" spans="3:3" ht="13.9" customHeight="1">
      <c r="C432" s="130"/>
    </row>
    <row r="433" spans="3:3" ht="13.9" customHeight="1">
      <c r="C433" s="130"/>
    </row>
    <row r="434" spans="3:3" ht="13.9" customHeight="1">
      <c r="C434" s="130"/>
    </row>
    <row r="435" spans="3:3" ht="13.9" customHeight="1">
      <c r="C435" s="130"/>
    </row>
    <row r="436" spans="3:3" ht="13.9" customHeight="1">
      <c r="C436" s="130"/>
    </row>
    <row r="437" spans="3:3" ht="13.9" customHeight="1">
      <c r="C437" s="130"/>
    </row>
    <row r="438" spans="3:3" ht="13.9" customHeight="1">
      <c r="C438" s="130"/>
    </row>
    <row r="439" spans="3:3" ht="13.9" customHeight="1">
      <c r="C439" s="130"/>
    </row>
    <row r="440" spans="3:3" ht="13.9" customHeight="1">
      <c r="C440" s="130"/>
    </row>
    <row r="441" spans="3:3" ht="13.9" customHeight="1">
      <c r="C441" s="130"/>
    </row>
    <row r="442" spans="3:3" ht="13.9" customHeight="1">
      <c r="C442" s="130"/>
    </row>
    <row r="443" spans="3:3" ht="13.9" customHeight="1">
      <c r="C443" s="130"/>
    </row>
    <row r="444" spans="3:3" ht="13.9" customHeight="1">
      <c r="C444" s="130"/>
    </row>
    <row r="445" spans="3:3" ht="13.9" customHeight="1">
      <c r="C445" s="130"/>
    </row>
    <row r="446" spans="3:3" ht="13.9" customHeight="1">
      <c r="C446" s="130"/>
    </row>
    <row r="447" spans="3:3" ht="13.9" customHeight="1">
      <c r="C447" s="130"/>
    </row>
    <row r="448" spans="3:3" ht="13.9" customHeight="1">
      <c r="C448" s="130"/>
    </row>
    <row r="449" spans="3:3" ht="13.9" customHeight="1">
      <c r="C449" s="130"/>
    </row>
    <row r="450" spans="3:3" ht="13.9" customHeight="1">
      <c r="C450" s="130"/>
    </row>
    <row r="451" spans="3:3" ht="13.9" customHeight="1">
      <c r="C451" s="130"/>
    </row>
    <row r="452" spans="3:3" ht="13.9" customHeight="1">
      <c r="C452" s="130"/>
    </row>
    <row r="453" spans="3:3" ht="13.9" customHeight="1">
      <c r="C453" s="130"/>
    </row>
    <row r="454" spans="3:3" ht="13.9" customHeight="1">
      <c r="C454" s="130"/>
    </row>
    <row r="455" spans="3:3" ht="13.9" customHeight="1">
      <c r="C455" s="130"/>
    </row>
    <row r="456" spans="3:3" ht="13.9" customHeight="1">
      <c r="C456" s="130"/>
    </row>
    <row r="457" spans="3:3" ht="13.9" customHeight="1">
      <c r="C457" s="130"/>
    </row>
    <row r="458" spans="3:3" ht="13.9" customHeight="1">
      <c r="C458" s="130"/>
    </row>
    <row r="459" spans="3:3" ht="13.9" customHeight="1">
      <c r="C459" s="130"/>
    </row>
    <row r="460" spans="3:3" ht="13.9" customHeight="1">
      <c r="C460" s="130"/>
    </row>
    <row r="461" spans="3:3" ht="13.9" customHeight="1">
      <c r="C461" s="130"/>
    </row>
    <row r="462" spans="3:3" ht="13.9" customHeight="1">
      <c r="C462" s="130"/>
    </row>
    <row r="463" spans="3:3" ht="13.9" customHeight="1">
      <c r="C463" s="130"/>
    </row>
    <row r="464" spans="3:3" ht="13.9" customHeight="1">
      <c r="C464" s="130"/>
    </row>
    <row r="465" spans="3:3" ht="13.9" customHeight="1">
      <c r="C465" s="130"/>
    </row>
    <row r="466" spans="3:3" ht="13.9" customHeight="1">
      <c r="C466" s="130"/>
    </row>
    <row r="467" spans="3:3" ht="13.9" customHeight="1">
      <c r="C467" s="130"/>
    </row>
    <row r="468" spans="3:3" ht="13.9" customHeight="1">
      <c r="C468" s="130"/>
    </row>
    <row r="469" spans="3:3" ht="13.9" customHeight="1">
      <c r="C469" s="130"/>
    </row>
    <row r="470" spans="3:3" ht="13.9" customHeight="1">
      <c r="C470" s="130"/>
    </row>
    <row r="471" spans="3:3" ht="13.9" customHeight="1">
      <c r="C471" s="130"/>
    </row>
    <row r="472" spans="3:3" ht="13.9" customHeight="1">
      <c r="C472" s="130"/>
    </row>
    <row r="473" spans="3:3" ht="13.9" customHeight="1">
      <c r="C473" s="130"/>
    </row>
    <row r="474" spans="3:3" ht="13.9" customHeight="1">
      <c r="C474" s="130"/>
    </row>
    <row r="475" spans="3:3" ht="13.9" customHeight="1">
      <c r="C475" s="130"/>
    </row>
    <row r="476" spans="3:3" ht="13.9" customHeight="1">
      <c r="C476" s="130"/>
    </row>
    <row r="477" spans="3:3" ht="13.9" customHeight="1">
      <c r="C477" s="130"/>
    </row>
    <row r="478" spans="3:3" ht="13.9" customHeight="1">
      <c r="C478" s="130"/>
    </row>
    <row r="479" spans="3:3" ht="13.9" customHeight="1">
      <c r="C479" s="130"/>
    </row>
    <row r="480" spans="3:3" ht="13.9" customHeight="1">
      <c r="C480" s="130"/>
    </row>
    <row r="481" spans="3:3" ht="13.9" customHeight="1">
      <c r="C481" s="130"/>
    </row>
    <row r="482" spans="3:3" ht="13.9" customHeight="1">
      <c r="C482" s="130"/>
    </row>
    <row r="483" spans="3:3" ht="13.9" customHeight="1">
      <c r="C483" s="130"/>
    </row>
    <row r="484" spans="3:3" ht="13.9" customHeight="1">
      <c r="C484" s="130"/>
    </row>
    <row r="485" spans="3:3" ht="13.9" customHeight="1">
      <c r="C485" s="130"/>
    </row>
    <row r="486" spans="3:3" ht="13.9" customHeight="1">
      <c r="C486" s="130"/>
    </row>
    <row r="487" spans="3:3" ht="13.9" customHeight="1">
      <c r="C487" s="130"/>
    </row>
    <row r="488" spans="3:3" ht="13.9" customHeight="1">
      <c r="C488" s="130"/>
    </row>
    <row r="489" spans="3:3" ht="13.9" customHeight="1">
      <c r="C489" s="130"/>
    </row>
    <row r="490" spans="3:3" ht="13.9" customHeight="1">
      <c r="C490" s="130"/>
    </row>
    <row r="491" spans="3:3" ht="13.9" customHeight="1">
      <c r="C491" s="130"/>
    </row>
    <row r="492" spans="3:3" ht="13.9" customHeight="1">
      <c r="C492" s="130"/>
    </row>
    <row r="493" spans="3:3" ht="13.9" customHeight="1">
      <c r="C493" s="130"/>
    </row>
    <row r="494" spans="3:3" ht="13.9" customHeight="1">
      <c r="C494" s="130"/>
    </row>
    <row r="495" spans="3:3" ht="13.9" customHeight="1">
      <c r="C495" s="130"/>
    </row>
    <row r="496" spans="3:3" ht="13.9" customHeight="1">
      <c r="C496" s="130"/>
    </row>
    <row r="497" spans="3:3" ht="13.9" customHeight="1">
      <c r="C497" s="130"/>
    </row>
    <row r="498" spans="3:3" ht="13.9" customHeight="1">
      <c r="C498" s="130"/>
    </row>
    <row r="499" spans="3:3" ht="13.9" customHeight="1">
      <c r="C499" s="130"/>
    </row>
    <row r="500" spans="3:3" ht="13.9" customHeight="1">
      <c r="C500" s="130"/>
    </row>
    <row r="501" spans="3:3" ht="13.9" customHeight="1">
      <c r="C501" s="130"/>
    </row>
    <row r="502" spans="3:3" ht="13.9" customHeight="1">
      <c r="C502" s="130"/>
    </row>
    <row r="503" spans="3:3" ht="13.9" customHeight="1">
      <c r="C503" s="130"/>
    </row>
    <row r="504" spans="3:3" ht="13.9" customHeight="1">
      <c r="C504" s="130"/>
    </row>
    <row r="505" spans="3:3" ht="13.9" customHeight="1">
      <c r="C505" s="130"/>
    </row>
    <row r="506" spans="3:3" ht="13.9" customHeight="1">
      <c r="C506" s="130"/>
    </row>
    <row r="507" spans="3:3" ht="13.9" customHeight="1">
      <c r="C507" s="130"/>
    </row>
    <row r="508" spans="3:3" ht="13.9" customHeight="1">
      <c r="C508" s="130"/>
    </row>
    <row r="509" spans="3:3" ht="13.9" customHeight="1">
      <c r="C509" s="130"/>
    </row>
    <row r="510" spans="3:3" ht="13.9" customHeight="1">
      <c r="C510" s="130"/>
    </row>
    <row r="511" spans="3:3" ht="13.9" customHeight="1">
      <c r="C511" s="130"/>
    </row>
    <row r="512" spans="3:3" ht="13.9" customHeight="1">
      <c r="C512" s="130"/>
    </row>
    <row r="513" spans="3:3" ht="13.9" customHeight="1">
      <c r="C513" s="130"/>
    </row>
    <row r="514" spans="3:3" ht="13.9" customHeight="1">
      <c r="C514" s="130"/>
    </row>
    <row r="515" spans="3:3" ht="13.9" customHeight="1">
      <c r="C515" s="130"/>
    </row>
    <row r="516" spans="3:3" ht="13.9" customHeight="1">
      <c r="C516" s="130"/>
    </row>
    <row r="517" spans="3:3" ht="13.9" customHeight="1">
      <c r="C517" s="130"/>
    </row>
    <row r="518" spans="3:3" ht="13.9" customHeight="1">
      <c r="C518" s="130"/>
    </row>
    <row r="519" spans="3:3" ht="13.9" customHeight="1">
      <c r="C519" s="130"/>
    </row>
    <row r="520" spans="3:3" ht="13.9" customHeight="1">
      <c r="C520" s="130"/>
    </row>
    <row r="521" spans="3:3" ht="13.9" customHeight="1">
      <c r="C521" s="130"/>
    </row>
    <row r="522" spans="3:3" ht="13.9" customHeight="1">
      <c r="C522" s="130"/>
    </row>
    <row r="523" spans="3:3" ht="13.9" customHeight="1">
      <c r="C523" s="130"/>
    </row>
    <row r="524" spans="3:3" ht="13.9" customHeight="1">
      <c r="C524" s="130"/>
    </row>
    <row r="525" spans="3:3" ht="13.9" customHeight="1">
      <c r="C525" s="130"/>
    </row>
    <row r="526" spans="3:3" ht="13.9" customHeight="1">
      <c r="C526" s="130"/>
    </row>
    <row r="527" spans="3:3" ht="13.9" customHeight="1">
      <c r="C527" s="130"/>
    </row>
    <row r="528" spans="3:3" ht="13.9" customHeight="1">
      <c r="C528" s="130"/>
    </row>
    <row r="529" spans="3:3" ht="13.9" customHeight="1">
      <c r="C529" s="130"/>
    </row>
    <row r="530" spans="3:3" ht="13.9" customHeight="1">
      <c r="C530" s="130"/>
    </row>
    <row r="531" spans="3:3" ht="13.9" customHeight="1">
      <c r="C531" s="130"/>
    </row>
    <row r="532" spans="3:3" ht="13.9" customHeight="1">
      <c r="C532" s="130"/>
    </row>
    <row r="533" spans="3:3" ht="13.9" customHeight="1">
      <c r="C533" s="130"/>
    </row>
    <row r="534" spans="3:3" ht="13.9" customHeight="1">
      <c r="C534" s="130"/>
    </row>
    <row r="535" spans="3:3" ht="13.9" customHeight="1">
      <c r="C535" s="130"/>
    </row>
    <row r="536" spans="3:3" ht="13.9" customHeight="1">
      <c r="C536" s="130"/>
    </row>
    <row r="537" spans="3:3" ht="13.9" customHeight="1">
      <c r="C537" s="130"/>
    </row>
    <row r="538" spans="3:3" ht="13.9" customHeight="1">
      <c r="C538" s="130"/>
    </row>
    <row r="539" spans="3:3" ht="13.9" customHeight="1">
      <c r="C539" s="130"/>
    </row>
    <row r="540" spans="3:3" ht="13.9" customHeight="1">
      <c r="C540" s="130"/>
    </row>
    <row r="541" spans="3:3" ht="13.9" customHeight="1">
      <c r="C541" s="130"/>
    </row>
    <row r="542" spans="3:3" ht="13.9" customHeight="1">
      <c r="C542" s="130"/>
    </row>
    <row r="543" spans="3:3" ht="13.9" customHeight="1">
      <c r="C543" s="130"/>
    </row>
    <row r="544" spans="3:3" ht="13.9" customHeight="1">
      <c r="C544" s="130"/>
    </row>
    <row r="545" spans="3:3" ht="13.9" customHeight="1">
      <c r="C545" s="130"/>
    </row>
    <row r="546" spans="3:3" ht="13.9" customHeight="1">
      <c r="C546" s="130"/>
    </row>
    <row r="547" spans="3:3" ht="13.9" customHeight="1">
      <c r="C547" s="130"/>
    </row>
    <row r="548" spans="3:3" ht="13.9" customHeight="1">
      <c r="C548" s="130"/>
    </row>
    <row r="549" spans="3:3" ht="13.9" customHeight="1">
      <c r="C549" s="130"/>
    </row>
    <row r="550" spans="3:3" ht="13.9" customHeight="1">
      <c r="C550" s="130"/>
    </row>
    <row r="551" spans="3:3" ht="13.9" customHeight="1">
      <c r="C551" s="130"/>
    </row>
    <row r="552" spans="3:3" ht="13.9" customHeight="1">
      <c r="C552" s="130"/>
    </row>
    <row r="553" spans="3:3" ht="13.9" customHeight="1">
      <c r="C553" s="130"/>
    </row>
    <row r="554" spans="3:3" ht="13.9" customHeight="1">
      <c r="C554" s="130"/>
    </row>
    <row r="555" spans="3:3" ht="13.9" customHeight="1">
      <c r="C555" s="130"/>
    </row>
    <row r="556" spans="3:3" ht="13.9" customHeight="1">
      <c r="C556" s="130"/>
    </row>
    <row r="557" spans="3:3" ht="13.9" customHeight="1">
      <c r="C557" s="130"/>
    </row>
    <row r="558" spans="3:3" ht="13.9" customHeight="1">
      <c r="C558" s="130"/>
    </row>
    <row r="559" spans="3:3" ht="13.9" customHeight="1">
      <c r="C559" s="130"/>
    </row>
    <row r="560" spans="3:3" ht="13.9" customHeight="1">
      <c r="C560" s="130"/>
    </row>
    <row r="561" spans="3:3" ht="13.9" customHeight="1">
      <c r="C561" s="130"/>
    </row>
    <row r="562" spans="3:3" ht="13.9" customHeight="1">
      <c r="C562" s="130"/>
    </row>
    <row r="563" spans="3:3" ht="13.9" customHeight="1">
      <c r="C563" s="130"/>
    </row>
    <row r="564" spans="3:3" ht="13.9" customHeight="1">
      <c r="C564" s="130"/>
    </row>
    <row r="565" spans="3:3" ht="13.9" customHeight="1">
      <c r="C565" s="130"/>
    </row>
    <row r="566" spans="3:3" ht="13.9" customHeight="1">
      <c r="C566" s="130"/>
    </row>
    <row r="567" spans="3:3" ht="13.9" customHeight="1">
      <c r="C567" s="130"/>
    </row>
    <row r="568" spans="3:3" ht="13.9" customHeight="1">
      <c r="C568" s="130"/>
    </row>
    <row r="569" spans="3:3" ht="13.9" customHeight="1">
      <c r="C569" s="130"/>
    </row>
    <row r="570" spans="3:3" ht="13.9" customHeight="1">
      <c r="C570" s="130"/>
    </row>
    <row r="571" spans="3:3" ht="13.9" customHeight="1">
      <c r="C571" s="130"/>
    </row>
    <row r="572" spans="3:3" ht="13.9" customHeight="1">
      <c r="C572" s="130"/>
    </row>
    <row r="573" spans="3:3" ht="13.9" customHeight="1">
      <c r="C573" s="130"/>
    </row>
    <row r="574" spans="3:3" ht="13.9" customHeight="1">
      <c r="C574" s="130"/>
    </row>
    <row r="575" spans="3:3" ht="13.9" customHeight="1">
      <c r="C575" s="130"/>
    </row>
    <row r="576" spans="3:3" ht="13.9" customHeight="1">
      <c r="C576" s="130"/>
    </row>
    <row r="577" spans="3:3" ht="13.9" customHeight="1">
      <c r="C577" s="130"/>
    </row>
    <row r="578" spans="3:3" ht="13.9" customHeight="1">
      <c r="C578" s="130"/>
    </row>
    <row r="579" spans="3:3" ht="13.9" customHeight="1">
      <c r="C579" s="130"/>
    </row>
    <row r="580" spans="3:3" ht="13.9" customHeight="1">
      <c r="C580" s="130"/>
    </row>
    <row r="581" spans="3:3" ht="13.9" customHeight="1">
      <c r="C581" s="130"/>
    </row>
    <row r="582" spans="3:3" ht="13.9" customHeight="1">
      <c r="C582" s="130"/>
    </row>
    <row r="583" spans="3:3" ht="13.9" customHeight="1">
      <c r="C583" s="130"/>
    </row>
    <row r="584" spans="3:3" ht="13.9" customHeight="1">
      <c r="C584" s="130"/>
    </row>
    <row r="585" spans="3:3" ht="13.9" customHeight="1">
      <c r="C585" s="130"/>
    </row>
    <row r="586" spans="3:3" ht="13.9" customHeight="1">
      <c r="C586" s="130"/>
    </row>
    <row r="587" spans="3:3" ht="13.9" customHeight="1">
      <c r="C587" s="130"/>
    </row>
    <row r="588" spans="3:3" ht="13.9" customHeight="1">
      <c r="C588" s="130"/>
    </row>
    <row r="589" spans="3:3" ht="13.9" customHeight="1">
      <c r="C589" s="130"/>
    </row>
    <row r="590" spans="3:3" ht="13.9" customHeight="1">
      <c r="C590" s="130"/>
    </row>
    <row r="591" spans="3:3" ht="13.9" customHeight="1">
      <c r="C591" s="130"/>
    </row>
    <row r="592" spans="3:3" ht="13.9" customHeight="1">
      <c r="C592" s="130"/>
    </row>
    <row r="593" spans="3:3" ht="13.9" customHeight="1">
      <c r="C593" s="130"/>
    </row>
    <row r="594" spans="3:3" ht="13.9" customHeight="1">
      <c r="C594" s="130"/>
    </row>
    <row r="595" spans="3:3" ht="13.9" customHeight="1">
      <c r="C595" s="130"/>
    </row>
    <row r="596" spans="3:3" ht="13.9" customHeight="1">
      <c r="C596" s="130"/>
    </row>
    <row r="597" spans="3:3" ht="13.9" customHeight="1">
      <c r="C597" s="130"/>
    </row>
    <row r="598" spans="3:3" ht="13.9" customHeight="1">
      <c r="C598" s="130"/>
    </row>
    <row r="599" spans="3:3" ht="13.9" customHeight="1">
      <c r="C599" s="130"/>
    </row>
    <row r="600" spans="3:3" ht="13.9" customHeight="1">
      <c r="C600" s="130"/>
    </row>
    <row r="601" spans="3:3" ht="13.9" customHeight="1">
      <c r="C601" s="130"/>
    </row>
    <row r="602" spans="3:3" ht="13.9" customHeight="1">
      <c r="C602" s="130"/>
    </row>
    <row r="603" spans="3:3" ht="13.9" customHeight="1">
      <c r="C603" s="130"/>
    </row>
    <row r="604" spans="3:3" ht="13.9" customHeight="1">
      <c r="C604" s="130"/>
    </row>
    <row r="605" spans="3:3" ht="13.9" customHeight="1">
      <c r="C605" s="130"/>
    </row>
    <row r="606" spans="3:3" ht="13.9" customHeight="1">
      <c r="C606" s="130"/>
    </row>
    <row r="607" spans="3:3" ht="13.9" customHeight="1">
      <c r="C607" s="130"/>
    </row>
    <row r="608" spans="3:3" ht="13.9" customHeight="1">
      <c r="C608" s="130"/>
    </row>
    <row r="609" spans="3:3" ht="13.9" customHeight="1">
      <c r="C609" s="130"/>
    </row>
    <row r="610" spans="3:3" ht="13.9" customHeight="1">
      <c r="C610" s="130"/>
    </row>
    <row r="611" spans="3:3" ht="13.9" customHeight="1">
      <c r="C611" s="130"/>
    </row>
    <row r="612" spans="3:3" ht="13.9" customHeight="1">
      <c r="C612" s="130"/>
    </row>
    <row r="613" spans="3:3" ht="13.9" customHeight="1">
      <c r="C613" s="130"/>
    </row>
    <row r="614" spans="3:3" ht="13.9" customHeight="1">
      <c r="C614" s="130"/>
    </row>
    <row r="615" spans="3:3" ht="13.9" customHeight="1">
      <c r="C615" s="130"/>
    </row>
    <row r="616" spans="3:3" ht="13.9" customHeight="1">
      <c r="C616" s="130"/>
    </row>
    <row r="617" spans="3:3" ht="13.9" customHeight="1">
      <c r="C617" s="130"/>
    </row>
    <row r="618" spans="3:3" ht="13.9" customHeight="1">
      <c r="C618" s="130"/>
    </row>
    <row r="619" spans="3:3" ht="13.9" customHeight="1">
      <c r="C619" s="130"/>
    </row>
    <row r="620" spans="3:3" ht="13.9" customHeight="1">
      <c r="C620" s="130"/>
    </row>
    <row r="621" spans="3:3" ht="13.9" customHeight="1">
      <c r="C621" s="130"/>
    </row>
    <row r="622" spans="3:3" ht="13.9" customHeight="1">
      <c r="C622" s="130"/>
    </row>
    <row r="623" spans="3:3" ht="13.9" customHeight="1">
      <c r="C623" s="130"/>
    </row>
    <row r="624" spans="3:3" ht="13.9" customHeight="1">
      <c r="C624" s="130"/>
    </row>
    <row r="625" spans="3:3" ht="13.9" customHeight="1">
      <c r="C625" s="130"/>
    </row>
    <row r="626" spans="3:3" ht="13.9" customHeight="1">
      <c r="C626" s="130"/>
    </row>
    <row r="627" spans="3:3" ht="13.9" customHeight="1">
      <c r="C627" s="130"/>
    </row>
    <row r="628" spans="3:3" ht="13.9" customHeight="1">
      <c r="C628" s="130"/>
    </row>
    <row r="629" spans="3:3" ht="13.9" customHeight="1">
      <c r="C629" s="130"/>
    </row>
    <row r="630" spans="3:3" ht="13.9" customHeight="1">
      <c r="C630" s="130"/>
    </row>
    <row r="631" spans="3:3" ht="13.9" customHeight="1">
      <c r="C631" s="130"/>
    </row>
    <row r="632" spans="3:3" ht="13.9" customHeight="1">
      <c r="C632" s="130"/>
    </row>
    <row r="633" spans="3:3" ht="13.9" customHeight="1">
      <c r="C633" s="130"/>
    </row>
    <row r="634" spans="3:3" ht="13.9" customHeight="1">
      <c r="C634" s="130"/>
    </row>
    <row r="635" spans="3:3" ht="13.9" customHeight="1">
      <c r="C635" s="130"/>
    </row>
    <row r="636" spans="3:3" ht="13.9" customHeight="1">
      <c r="C636" s="130"/>
    </row>
    <row r="637" spans="3:3" ht="13.9" customHeight="1">
      <c r="C637" s="130"/>
    </row>
    <row r="638" spans="3:3" ht="13.9" customHeight="1">
      <c r="C638" s="130"/>
    </row>
    <row r="639" spans="3:3" ht="13.9" customHeight="1">
      <c r="C639" s="130"/>
    </row>
    <row r="640" spans="3:3" ht="13.9" customHeight="1">
      <c r="C640" s="130"/>
    </row>
    <row r="641" spans="3:3" ht="13.9" customHeight="1">
      <c r="C641" s="130"/>
    </row>
    <row r="642" spans="3:3" ht="13.9" customHeight="1">
      <c r="C642" s="130"/>
    </row>
    <row r="643" spans="3:3" ht="13.9" customHeight="1">
      <c r="C643" s="130"/>
    </row>
    <row r="644" spans="3:3" ht="13.9" customHeight="1">
      <c r="C644" s="130"/>
    </row>
    <row r="645" spans="3:3" ht="13.9" customHeight="1">
      <c r="C645" s="130"/>
    </row>
    <row r="646" spans="3:3" ht="13.9" customHeight="1">
      <c r="C646" s="130"/>
    </row>
    <row r="647" spans="3:3" ht="13.9" customHeight="1">
      <c r="C647" s="130"/>
    </row>
    <row r="648" spans="3:3" ht="13.9" customHeight="1">
      <c r="C648" s="130"/>
    </row>
    <row r="649" spans="3:3" ht="13.9" customHeight="1">
      <c r="C649" s="130"/>
    </row>
    <row r="650" spans="3:3" ht="13.9" customHeight="1">
      <c r="C650" s="130"/>
    </row>
    <row r="651" spans="3:3" ht="13.9" customHeight="1">
      <c r="C651" s="130"/>
    </row>
    <row r="652" spans="3:3" ht="13.9" customHeight="1">
      <c r="C652" s="130"/>
    </row>
    <row r="653" spans="3:3" ht="13.9" customHeight="1">
      <c r="C653" s="130"/>
    </row>
    <row r="654" spans="3:3" ht="13.9" customHeight="1">
      <c r="C654" s="130"/>
    </row>
    <row r="655" spans="3:3" ht="13.9" customHeight="1">
      <c r="C655" s="130"/>
    </row>
    <row r="656" spans="3:3" ht="13.9" customHeight="1">
      <c r="C656" s="130"/>
    </row>
    <row r="657" spans="3:3" ht="13.9" customHeight="1">
      <c r="C657" s="130"/>
    </row>
    <row r="658" spans="3:3" ht="13.9" customHeight="1">
      <c r="C658" s="130"/>
    </row>
    <row r="659" spans="3:3" ht="13.9" customHeight="1">
      <c r="C659" s="130"/>
    </row>
    <row r="660" spans="3:3" ht="13.9" customHeight="1">
      <c r="C660" s="130"/>
    </row>
    <row r="661" spans="3:3" ht="13.9" customHeight="1">
      <c r="C661" s="130"/>
    </row>
    <row r="662" spans="3:3" ht="13.9" customHeight="1">
      <c r="C662" s="130"/>
    </row>
    <row r="663" spans="3:3" ht="13.9" customHeight="1">
      <c r="C663" s="130"/>
    </row>
    <row r="664" spans="3:3" ht="13.9" customHeight="1">
      <c r="C664" s="130"/>
    </row>
    <row r="665" spans="3:3" ht="13.9" customHeight="1">
      <c r="C665" s="130"/>
    </row>
    <row r="666" spans="3:3" ht="13.9" customHeight="1">
      <c r="C666" s="130"/>
    </row>
    <row r="667" spans="3:3" ht="13.9" customHeight="1">
      <c r="C667" s="130"/>
    </row>
    <row r="668" spans="3:3" ht="13.9" customHeight="1">
      <c r="C668" s="130"/>
    </row>
    <row r="669" spans="3:3" ht="13.9" customHeight="1">
      <c r="C669" s="130"/>
    </row>
    <row r="670" spans="3:3" ht="13.9" customHeight="1">
      <c r="C670" s="130"/>
    </row>
    <row r="671" spans="3:3" ht="13.9" customHeight="1">
      <c r="C671" s="130"/>
    </row>
    <row r="672" spans="3:3" ht="13.9" customHeight="1">
      <c r="C672" s="130"/>
    </row>
    <row r="673" spans="3:3" ht="13.9" customHeight="1">
      <c r="C673" s="130"/>
    </row>
    <row r="674" spans="3:3" ht="13.9" customHeight="1">
      <c r="C674" s="130"/>
    </row>
    <row r="675" spans="3:3" ht="13.9" customHeight="1">
      <c r="C675" s="130"/>
    </row>
    <row r="676" spans="3:3" ht="13.9" customHeight="1">
      <c r="C676" s="130"/>
    </row>
    <row r="677" spans="3:3" ht="13.9" customHeight="1">
      <c r="C677" s="130"/>
    </row>
    <row r="678" spans="3:3" ht="13.9" customHeight="1">
      <c r="C678" s="130"/>
    </row>
    <row r="679" spans="3:3" ht="13.9" customHeight="1">
      <c r="C679" s="130"/>
    </row>
    <row r="680" spans="3:3" ht="13.9" customHeight="1">
      <c r="C680" s="130"/>
    </row>
    <row r="681" spans="3:3" ht="13.9" customHeight="1">
      <c r="C681" s="130"/>
    </row>
    <row r="682" spans="3:3" ht="13.9" customHeight="1">
      <c r="C682" s="130"/>
    </row>
    <row r="683" spans="3:3" ht="13.9" customHeight="1">
      <c r="C683" s="130"/>
    </row>
    <row r="684" spans="3:3" ht="13.9" customHeight="1">
      <c r="C684" s="130"/>
    </row>
    <row r="685" spans="3:3" ht="13.9" customHeight="1">
      <c r="C685" s="130"/>
    </row>
    <row r="686" spans="3:3" ht="13.9" customHeight="1">
      <c r="C686" s="130"/>
    </row>
    <row r="687" spans="3:3" ht="13.9" customHeight="1">
      <c r="C687" s="130"/>
    </row>
    <row r="688" spans="3:3" ht="13.9" customHeight="1">
      <c r="C688" s="130"/>
    </row>
    <row r="689" spans="3:3" ht="13.9" customHeight="1">
      <c r="C689" s="130"/>
    </row>
    <row r="690" spans="3:3" ht="13.9" customHeight="1">
      <c r="C690" s="130"/>
    </row>
    <row r="691" spans="3:3" ht="13.9" customHeight="1">
      <c r="C691" s="130"/>
    </row>
    <row r="692" spans="3:3" ht="13.9" customHeight="1">
      <c r="C692" s="130"/>
    </row>
    <row r="693" spans="3:3" ht="13.9" customHeight="1">
      <c r="C693" s="130"/>
    </row>
    <row r="694" spans="3:3" ht="13.9" customHeight="1">
      <c r="C694" s="130"/>
    </row>
    <row r="695" spans="3:3" ht="13.9" customHeight="1">
      <c r="C695" s="130"/>
    </row>
    <row r="696" spans="3:3" ht="13.9" customHeight="1">
      <c r="C696" s="130"/>
    </row>
    <row r="697" spans="3:3" ht="13.9" customHeight="1">
      <c r="C697" s="130"/>
    </row>
    <row r="698" spans="3:3" ht="13.9" customHeight="1">
      <c r="C698" s="130"/>
    </row>
    <row r="699" spans="3:3" ht="13.9" customHeight="1">
      <c r="C699" s="130"/>
    </row>
    <row r="700" spans="3:3" ht="13.9" customHeight="1">
      <c r="C700" s="130"/>
    </row>
    <row r="701" spans="3:3" ht="13.9" customHeight="1">
      <c r="C701" s="130"/>
    </row>
    <row r="702" spans="3:3" ht="13.9" customHeight="1">
      <c r="C702" s="130"/>
    </row>
    <row r="703" spans="3:3" ht="13.9" customHeight="1">
      <c r="C703" s="130"/>
    </row>
    <row r="704" spans="3:3" ht="13.9" customHeight="1">
      <c r="C704" s="130"/>
    </row>
    <row r="705" spans="3:3" ht="13.9" customHeight="1">
      <c r="C705" s="130"/>
    </row>
    <row r="706" spans="3:3" ht="13.9" customHeight="1">
      <c r="C706" s="130"/>
    </row>
    <row r="707" spans="3:3" ht="13.9" customHeight="1">
      <c r="C707" s="130"/>
    </row>
    <row r="708" spans="3:3" ht="13.9" customHeight="1">
      <c r="C708" s="130"/>
    </row>
    <row r="709" spans="3:3" ht="13.9" customHeight="1">
      <c r="C709" s="130"/>
    </row>
    <row r="710" spans="3:3" ht="13.9" customHeight="1">
      <c r="C710" s="130"/>
    </row>
    <row r="711" spans="3:3" ht="13.9" customHeight="1">
      <c r="C711" s="130"/>
    </row>
    <row r="712" spans="3:3" ht="13.9" customHeight="1">
      <c r="C712" s="130"/>
    </row>
    <row r="713" spans="3:3" ht="13.9" customHeight="1">
      <c r="C713" s="130"/>
    </row>
    <row r="714" spans="3:3" ht="13.9" customHeight="1">
      <c r="C714" s="130"/>
    </row>
    <row r="715" spans="3:3" ht="13.9" customHeight="1">
      <c r="C715" s="130"/>
    </row>
    <row r="716" spans="3:3" ht="13.9" customHeight="1">
      <c r="C716" s="130"/>
    </row>
    <row r="717" spans="3:3" ht="13.9" customHeight="1">
      <c r="C717" s="130"/>
    </row>
    <row r="718" spans="3:3" ht="13.9" customHeight="1">
      <c r="C718" s="130"/>
    </row>
    <row r="719" spans="3:3" ht="13.9" customHeight="1">
      <c r="C719" s="130"/>
    </row>
    <row r="720" spans="3:3" ht="13.9" customHeight="1">
      <c r="C720" s="130"/>
    </row>
    <row r="721" spans="3:3" ht="13.9" customHeight="1">
      <c r="C721" s="130"/>
    </row>
    <row r="722" spans="3:3" ht="13.9" customHeight="1">
      <c r="C722" s="130"/>
    </row>
    <row r="723" spans="3:3" ht="13.9" customHeight="1">
      <c r="C723" s="130"/>
    </row>
    <row r="724" spans="3:3" ht="13.9" customHeight="1">
      <c r="C724" s="130"/>
    </row>
    <row r="725" spans="3:3" ht="13.9" customHeight="1">
      <c r="C725" s="130"/>
    </row>
    <row r="726" spans="3:3" ht="13.9" customHeight="1">
      <c r="C726" s="130"/>
    </row>
    <row r="727" spans="3:3" ht="13.9" customHeight="1">
      <c r="C727" s="130"/>
    </row>
    <row r="728" spans="3:3" ht="13.9" customHeight="1">
      <c r="C728" s="130"/>
    </row>
    <row r="729" spans="3:3" ht="13.9" customHeight="1">
      <c r="C729" s="130"/>
    </row>
    <row r="730" spans="3:3" ht="13.9" customHeight="1">
      <c r="C730" s="130"/>
    </row>
    <row r="731" spans="3:3" ht="13.9" customHeight="1">
      <c r="C731" s="130"/>
    </row>
    <row r="732" spans="3:3" ht="13.9" customHeight="1">
      <c r="C732" s="130"/>
    </row>
    <row r="733" spans="3:3" ht="13.9" customHeight="1">
      <c r="C733" s="130"/>
    </row>
    <row r="734" spans="3:3" ht="13.9" customHeight="1">
      <c r="C734" s="130"/>
    </row>
    <row r="735" spans="3:3" ht="13.9" customHeight="1">
      <c r="C735" s="130"/>
    </row>
    <row r="736" spans="3:3" ht="13.9" customHeight="1">
      <c r="C736" s="130"/>
    </row>
    <row r="737" spans="3:3" ht="13.9" customHeight="1">
      <c r="C737" s="130"/>
    </row>
    <row r="738" spans="3:3" ht="13.9" customHeight="1">
      <c r="C738" s="130"/>
    </row>
    <row r="739" spans="3:3" ht="13.9" customHeight="1">
      <c r="C739" s="130"/>
    </row>
    <row r="740" spans="3:3" ht="13.9" customHeight="1">
      <c r="C740" s="130"/>
    </row>
    <row r="741" spans="3:3" ht="13.9" customHeight="1">
      <c r="C741" s="130"/>
    </row>
    <row r="742" spans="3:3" ht="13.9" customHeight="1">
      <c r="C742" s="130"/>
    </row>
    <row r="743" spans="3:3" ht="13.9" customHeight="1">
      <c r="C743" s="130"/>
    </row>
    <row r="744" spans="3:3" ht="13.9" customHeight="1">
      <c r="C744" s="130"/>
    </row>
    <row r="745" spans="3:3" ht="13.9" customHeight="1">
      <c r="C745" s="130"/>
    </row>
    <row r="746" spans="3:3" ht="13.9" customHeight="1">
      <c r="C746" s="130"/>
    </row>
    <row r="747" spans="3:3" ht="13.9" customHeight="1">
      <c r="C747" s="130"/>
    </row>
    <row r="748" spans="3:3" ht="13.9" customHeight="1">
      <c r="C748" s="130"/>
    </row>
    <row r="749" spans="3:3" ht="13.9" customHeight="1">
      <c r="C749" s="130"/>
    </row>
    <row r="750" spans="3:3" ht="13.9" customHeight="1">
      <c r="C750" s="130"/>
    </row>
    <row r="751" spans="3:3" ht="13.9" customHeight="1">
      <c r="C751" s="130"/>
    </row>
    <row r="752" spans="3:3" ht="13.9" customHeight="1">
      <c r="C752" s="130"/>
    </row>
    <row r="753" spans="3:3" ht="13.9" customHeight="1">
      <c r="C753" s="130"/>
    </row>
    <row r="754" spans="3:3" ht="13.9" customHeight="1">
      <c r="C754" s="130"/>
    </row>
    <row r="755" spans="3:3" ht="13.9" customHeight="1">
      <c r="C755" s="130"/>
    </row>
    <row r="756" spans="3:3" ht="13.9" customHeight="1">
      <c r="C756" s="130"/>
    </row>
    <row r="757" spans="3:3" ht="13.9" customHeight="1">
      <c r="C757" s="130"/>
    </row>
    <row r="758" spans="3:3" ht="13.9" customHeight="1">
      <c r="C758" s="130"/>
    </row>
    <row r="759" spans="3:3" ht="13.9" customHeight="1">
      <c r="C759" s="130"/>
    </row>
    <row r="760" spans="3:3" ht="13.9" customHeight="1">
      <c r="C760" s="130"/>
    </row>
    <row r="761" spans="3:3" ht="13.9" customHeight="1">
      <c r="C761" s="130"/>
    </row>
    <row r="762" spans="3:3" ht="13.9" customHeight="1">
      <c r="C762" s="130"/>
    </row>
    <row r="763" spans="3:3" ht="13.9" customHeight="1">
      <c r="C763" s="130"/>
    </row>
    <row r="764" spans="3:3" ht="13.9" customHeight="1">
      <c r="C764" s="130"/>
    </row>
    <row r="765" spans="3:3" ht="13.9" customHeight="1">
      <c r="C765" s="130"/>
    </row>
    <row r="766" spans="3:3" ht="13.9" customHeight="1">
      <c r="C766" s="130"/>
    </row>
    <row r="767" spans="3:3" ht="13.9" customHeight="1">
      <c r="C767" s="130"/>
    </row>
    <row r="768" spans="3:3" ht="13.9" customHeight="1">
      <c r="C768" s="130"/>
    </row>
    <row r="769" spans="3:3" ht="13.9" customHeight="1">
      <c r="C769" s="130"/>
    </row>
    <row r="770" spans="3:3" ht="13.9" customHeight="1">
      <c r="C770" s="130"/>
    </row>
    <row r="771" spans="3:3" ht="13.9" customHeight="1">
      <c r="C771" s="130"/>
    </row>
    <row r="772" spans="3:3" ht="13.9" customHeight="1">
      <c r="C772" s="130"/>
    </row>
    <row r="773" spans="3:3" ht="13.9" customHeight="1">
      <c r="C773" s="130"/>
    </row>
    <row r="774" spans="3:3" ht="13.9" customHeight="1">
      <c r="C774" s="130"/>
    </row>
    <row r="775" spans="3:3" ht="13.9" customHeight="1">
      <c r="C775" s="130"/>
    </row>
    <row r="776" spans="3:3" ht="13.9" customHeight="1">
      <c r="C776" s="130"/>
    </row>
    <row r="777" spans="3:3" ht="13.9" customHeight="1">
      <c r="C777" s="130"/>
    </row>
    <row r="778" spans="3:3" ht="13.9" customHeight="1">
      <c r="C778" s="130"/>
    </row>
    <row r="779" spans="3:3" ht="13.9" customHeight="1">
      <c r="C779" s="130"/>
    </row>
    <row r="780" spans="3:3" ht="13.9" customHeight="1">
      <c r="C780" s="130"/>
    </row>
    <row r="781" spans="3:3" ht="13.9" customHeight="1">
      <c r="C781" s="130"/>
    </row>
    <row r="782" spans="3:3" ht="13.9" customHeight="1">
      <c r="C782" s="130"/>
    </row>
    <row r="783" spans="3:3" ht="13.9" customHeight="1">
      <c r="C783" s="130"/>
    </row>
    <row r="784" spans="3:3" ht="13.9" customHeight="1">
      <c r="C784" s="130"/>
    </row>
    <row r="785" spans="3:3" ht="13.9" customHeight="1">
      <c r="C785" s="130"/>
    </row>
    <row r="786" spans="3:3" ht="13.9" customHeight="1">
      <c r="C786" s="130"/>
    </row>
    <row r="787" spans="3:3" ht="13.9" customHeight="1">
      <c r="C787" s="130"/>
    </row>
    <row r="788" spans="3:3" ht="13.9" customHeight="1">
      <c r="C788" s="130"/>
    </row>
    <row r="789" spans="3:3" ht="13.9" customHeight="1">
      <c r="C789" s="130"/>
    </row>
    <row r="790" spans="3:3" ht="13.9" customHeight="1">
      <c r="C790" s="130"/>
    </row>
    <row r="791" spans="3:3" ht="13.9" customHeight="1">
      <c r="C791" s="130"/>
    </row>
    <row r="792" spans="3:3" ht="13.9" customHeight="1">
      <c r="C792" s="130"/>
    </row>
    <row r="793" spans="3:3" ht="13.9" customHeight="1">
      <c r="C793" s="130"/>
    </row>
    <row r="794" spans="3:3" ht="13.9" customHeight="1">
      <c r="C794" s="130"/>
    </row>
    <row r="795" spans="3:3" ht="13.9" customHeight="1">
      <c r="C795" s="130"/>
    </row>
    <row r="796" spans="3:3" ht="13.9" customHeight="1">
      <c r="C796" s="130"/>
    </row>
    <row r="797" spans="3:3" ht="13.9" customHeight="1">
      <c r="C797" s="130"/>
    </row>
    <row r="798" spans="3:3" ht="13.9" customHeight="1">
      <c r="C798" s="130"/>
    </row>
    <row r="799" spans="3:3" ht="13.9" customHeight="1">
      <c r="C799" s="130"/>
    </row>
    <row r="800" spans="3:3" ht="13.9" customHeight="1">
      <c r="C800" s="130"/>
    </row>
    <row r="801" spans="3:3" ht="13.9" customHeight="1">
      <c r="C801" s="130"/>
    </row>
    <row r="802" spans="3:3" ht="13.9" customHeight="1">
      <c r="C802" s="130"/>
    </row>
    <row r="803" spans="3:3" ht="13.9" customHeight="1">
      <c r="C803" s="130"/>
    </row>
    <row r="804" spans="3:3" ht="13.9" customHeight="1">
      <c r="C804" s="130"/>
    </row>
    <row r="805" spans="3:3" ht="13.9" customHeight="1">
      <c r="C805" s="130"/>
    </row>
    <row r="806" spans="3:3" ht="13.9" customHeight="1">
      <c r="C806" s="130"/>
    </row>
    <row r="807" spans="3:3" ht="13.9" customHeight="1">
      <c r="C807" s="130"/>
    </row>
    <row r="808" spans="3:3" ht="13.9" customHeight="1">
      <c r="C808" s="130"/>
    </row>
    <row r="809" spans="3:3" ht="13.9" customHeight="1">
      <c r="C809" s="130"/>
    </row>
    <row r="810" spans="3:3" ht="13.9" customHeight="1">
      <c r="C810" s="130"/>
    </row>
    <row r="811" spans="3:3" ht="13.9" customHeight="1">
      <c r="C811" s="130"/>
    </row>
    <row r="812" spans="3:3" ht="13.9" customHeight="1">
      <c r="C812" s="130"/>
    </row>
    <row r="813" spans="3:3" ht="13.9" customHeight="1">
      <c r="C813" s="130"/>
    </row>
    <row r="814" spans="3:3" ht="13.9" customHeight="1">
      <c r="C814" s="130"/>
    </row>
    <row r="815" spans="3:3" ht="13.9" customHeight="1">
      <c r="C815" s="130"/>
    </row>
    <row r="816" spans="3:3" ht="13.9" customHeight="1">
      <c r="C816" s="130"/>
    </row>
    <row r="817" spans="3:3" ht="13.9" customHeight="1">
      <c r="C817" s="130"/>
    </row>
    <row r="818" spans="3:3" ht="13.9" customHeight="1">
      <c r="C818" s="130"/>
    </row>
    <row r="819" spans="3:3" ht="13.9" customHeight="1">
      <c r="C819" s="130"/>
    </row>
    <row r="820" spans="3:3" ht="13.9" customHeight="1">
      <c r="C820" s="130"/>
    </row>
    <row r="821" spans="3:3" ht="13.9" customHeight="1">
      <c r="C821" s="130"/>
    </row>
    <row r="822" spans="3:3" ht="13.9" customHeight="1">
      <c r="C822" s="130"/>
    </row>
    <row r="823" spans="3:3" ht="13.9" customHeight="1">
      <c r="C823" s="130"/>
    </row>
    <row r="824" spans="3:3" ht="13.9" customHeight="1">
      <c r="C824" s="130"/>
    </row>
    <row r="825" spans="3:3" ht="13.9" customHeight="1">
      <c r="C825" s="130"/>
    </row>
    <row r="826" spans="3:3" ht="13.9" customHeight="1">
      <c r="C826" s="130"/>
    </row>
    <row r="827" spans="3:3" ht="13.9" customHeight="1">
      <c r="C827" s="130"/>
    </row>
    <row r="828" spans="3:3" ht="13.9" customHeight="1">
      <c r="C828" s="130"/>
    </row>
    <row r="829" spans="3:3" ht="13.9" customHeight="1">
      <c r="C829" s="130"/>
    </row>
    <row r="830" spans="3:3" ht="13.9" customHeight="1">
      <c r="C830" s="130"/>
    </row>
    <row r="831" spans="3:3" ht="13.9" customHeight="1">
      <c r="C831" s="130"/>
    </row>
    <row r="832" spans="3:3" ht="13.9" customHeight="1">
      <c r="C832" s="130"/>
    </row>
    <row r="833" spans="3:3" ht="13.9" customHeight="1">
      <c r="C833" s="130"/>
    </row>
    <row r="834" spans="3:3" ht="13.9" customHeight="1">
      <c r="C834" s="130"/>
    </row>
    <row r="835" spans="3:3" ht="13.9" customHeight="1">
      <c r="C835" s="130"/>
    </row>
    <row r="836" spans="3:3" ht="13.9" customHeight="1">
      <c r="C836" s="130"/>
    </row>
    <row r="837" spans="3:3" ht="13.9" customHeight="1">
      <c r="C837" s="130"/>
    </row>
    <row r="838" spans="3:3" ht="13.9" customHeight="1">
      <c r="C838" s="130"/>
    </row>
    <row r="839" spans="3:3" ht="13.9" customHeight="1">
      <c r="C839" s="130"/>
    </row>
    <row r="840" spans="3:3" ht="13.9" customHeight="1">
      <c r="C840" s="130"/>
    </row>
    <row r="841" spans="3:3" ht="13.9" customHeight="1">
      <c r="C841" s="130"/>
    </row>
    <row r="842" spans="3:3" ht="13.9" customHeight="1">
      <c r="C842" s="130"/>
    </row>
    <row r="843" spans="3:3" ht="13.9" customHeight="1">
      <c r="C843" s="130"/>
    </row>
    <row r="844" spans="3:3" ht="13.9" customHeight="1">
      <c r="C844" s="130"/>
    </row>
    <row r="845" spans="3:3" ht="13.9" customHeight="1">
      <c r="C845" s="130"/>
    </row>
    <row r="846" spans="3:3" ht="13.9" customHeight="1">
      <c r="C846" s="130"/>
    </row>
    <row r="847" spans="3:3" ht="13.9" customHeight="1">
      <c r="C847" s="130"/>
    </row>
    <row r="848" spans="3:3" ht="13.9" customHeight="1">
      <c r="C848" s="130"/>
    </row>
    <row r="849" spans="3:3" ht="13.9" customHeight="1">
      <c r="C849" s="130"/>
    </row>
    <row r="850" spans="3:3" ht="13.9" customHeight="1">
      <c r="C850" s="130"/>
    </row>
    <row r="851" spans="3:3" ht="13.9" customHeight="1">
      <c r="C851" s="130"/>
    </row>
    <row r="852" spans="3:3" ht="13.9" customHeight="1">
      <c r="C852" s="130"/>
    </row>
    <row r="853" spans="3:3" ht="13.9" customHeight="1">
      <c r="C853" s="130"/>
    </row>
    <row r="854" spans="3:3" ht="13.9" customHeight="1">
      <c r="C854" s="130"/>
    </row>
    <row r="855" spans="3:3" ht="13.9" customHeight="1">
      <c r="C855" s="130"/>
    </row>
    <row r="856" spans="3:3" ht="13.9" customHeight="1">
      <c r="C856" s="130"/>
    </row>
    <row r="857" spans="3:3" ht="13.9" customHeight="1">
      <c r="C857" s="130"/>
    </row>
    <row r="858" spans="3:3" ht="13.9" customHeight="1">
      <c r="C858" s="130"/>
    </row>
    <row r="859" spans="3:3" ht="13.9" customHeight="1">
      <c r="C859" s="130"/>
    </row>
    <row r="860" spans="3:3" ht="13.9" customHeight="1">
      <c r="C860" s="130"/>
    </row>
    <row r="861" spans="3:3" ht="13.9" customHeight="1">
      <c r="C861" s="130"/>
    </row>
    <row r="862" spans="3:3" ht="13.9" customHeight="1">
      <c r="C862" s="130"/>
    </row>
    <row r="863" spans="3:3" ht="13.9" customHeight="1">
      <c r="C863" s="130"/>
    </row>
    <row r="864" spans="3:3" ht="13.9" customHeight="1">
      <c r="C864" s="130"/>
    </row>
    <row r="865" spans="3:3" ht="13.9" customHeight="1">
      <c r="C865" s="130"/>
    </row>
    <row r="866" spans="3:3" ht="13.9" customHeight="1">
      <c r="C866" s="130"/>
    </row>
    <row r="867" spans="3:3" ht="13.9" customHeight="1">
      <c r="C867" s="130"/>
    </row>
    <row r="868" spans="3:3" ht="13.9" customHeight="1">
      <c r="C868" s="130"/>
    </row>
    <row r="869" spans="3:3" ht="13.9" customHeight="1">
      <c r="C869" s="130"/>
    </row>
    <row r="870" spans="3:3" ht="13.9" customHeight="1">
      <c r="C870" s="130"/>
    </row>
    <row r="871" spans="3:3" ht="13.9" customHeight="1">
      <c r="C871" s="130"/>
    </row>
    <row r="872" spans="3:3" ht="13.9" customHeight="1">
      <c r="C872" s="130"/>
    </row>
    <row r="873" spans="3:3" ht="13.9" customHeight="1">
      <c r="C873" s="130"/>
    </row>
    <row r="874" spans="3:3" ht="13.9" customHeight="1">
      <c r="C874" s="130"/>
    </row>
    <row r="875" spans="3:3" ht="13.9" customHeight="1">
      <c r="C875" s="130"/>
    </row>
    <row r="876" spans="3:3" ht="13.9" customHeight="1">
      <c r="C876" s="130"/>
    </row>
    <row r="877" spans="3:3" ht="13.9" customHeight="1">
      <c r="C877" s="130"/>
    </row>
    <row r="878" spans="3:3" ht="13.9" customHeight="1">
      <c r="C878" s="130"/>
    </row>
    <row r="879" spans="3:3" ht="13.9" customHeight="1">
      <c r="C879" s="130"/>
    </row>
    <row r="880" spans="3:3" ht="13.9" customHeight="1">
      <c r="C880" s="130"/>
    </row>
    <row r="881" spans="3:3" ht="13.9" customHeight="1">
      <c r="C881" s="130"/>
    </row>
    <row r="882" spans="3:3" ht="13.9" customHeight="1">
      <c r="C882" s="130"/>
    </row>
    <row r="883" spans="3:3" ht="13.9" customHeight="1">
      <c r="C883" s="130"/>
    </row>
    <row r="884" spans="3:3" ht="13.9" customHeight="1">
      <c r="C884" s="130"/>
    </row>
    <row r="885" spans="3:3" ht="13.9" customHeight="1">
      <c r="C885" s="130"/>
    </row>
    <row r="886" spans="3:3" ht="13.9" customHeight="1">
      <c r="C886" s="130"/>
    </row>
    <row r="887" spans="3:3" ht="13.9" customHeight="1">
      <c r="C887" s="130"/>
    </row>
    <row r="888" spans="3:3" ht="13.9" customHeight="1">
      <c r="C888" s="130"/>
    </row>
    <row r="889" spans="3:3" ht="13.9" customHeight="1">
      <c r="C889" s="130"/>
    </row>
    <row r="890" spans="3:3" ht="13.9" customHeight="1">
      <c r="C890" s="130"/>
    </row>
    <row r="891" spans="3:3" ht="13.9" customHeight="1">
      <c r="C891" s="130"/>
    </row>
    <row r="892" spans="3:3" ht="13.9" customHeight="1">
      <c r="C892" s="130"/>
    </row>
    <row r="893" spans="3:3" ht="13.9" customHeight="1">
      <c r="C893" s="130"/>
    </row>
    <row r="894" spans="3:3" ht="13.9" customHeight="1">
      <c r="C894" s="130"/>
    </row>
    <row r="895" spans="3:3" ht="13.9" customHeight="1">
      <c r="C895" s="130"/>
    </row>
    <row r="896" spans="3:3" ht="13.9" customHeight="1">
      <c r="C896" s="130"/>
    </row>
    <row r="897" spans="3:3" ht="13.9" customHeight="1">
      <c r="C897" s="130"/>
    </row>
    <row r="898" spans="3:3" ht="13.9" customHeight="1">
      <c r="C898" s="130"/>
    </row>
    <row r="899" spans="3:3" ht="13.9" customHeight="1">
      <c r="C899" s="130"/>
    </row>
    <row r="900" spans="3:3" ht="13.9" customHeight="1">
      <c r="C900" s="130"/>
    </row>
    <row r="901" spans="3:3" ht="13.9" customHeight="1">
      <c r="C901" s="130"/>
    </row>
    <row r="902" spans="3:3" ht="13.9" customHeight="1">
      <c r="C902" s="130"/>
    </row>
    <row r="903" spans="3:3" ht="13.9" customHeight="1">
      <c r="C903" s="130"/>
    </row>
    <row r="904" spans="3:3" ht="13.9" customHeight="1">
      <c r="C904" s="130"/>
    </row>
    <row r="905" spans="3:3" ht="13.9" customHeight="1">
      <c r="C905" s="130"/>
    </row>
    <row r="906" spans="3:3" ht="13.9" customHeight="1">
      <c r="C906" s="130"/>
    </row>
    <row r="907" spans="3:3" ht="13.9" customHeight="1">
      <c r="C907" s="130"/>
    </row>
    <row r="908" spans="3:3" ht="13.9" customHeight="1">
      <c r="C908" s="130"/>
    </row>
    <row r="909" spans="3:3" ht="13.9" customHeight="1">
      <c r="C909" s="130"/>
    </row>
    <row r="910" spans="3:3" ht="13.9" customHeight="1">
      <c r="C910" s="130"/>
    </row>
    <row r="911" spans="3:3" ht="13.9" customHeight="1">
      <c r="C911" s="130"/>
    </row>
    <row r="912" spans="3:3" ht="13.9" customHeight="1">
      <c r="C912" s="130"/>
    </row>
    <row r="913" spans="3:3" ht="13.9" customHeight="1">
      <c r="C913" s="130"/>
    </row>
    <row r="914" spans="3:3" ht="13.9" customHeight="1">
      <c r="C914" s="130"/>
    </row>
    <row r="915" spans="3:3" ht="13.9" customHeight="1">
      <c r="C915" s="130"/>
    </row>
    <row r="916" spans="3:3" ht="13.9" customHeight="1">
      <c r="C916" s="130"/>
    </row>
    <row r="917" spans="3:3" ht="13.9" customHeight="1">
      <c r="C917" s="130"/>
    </row>
    <row r="918" spans="3:3" ht="13.9" customHeight="1">
      <c r="C918" s="130"/>
    </row>
    <row r="919" spans="3:3" ht="13.9" customHeight="1">
      <c r="C919" s="130"/>
    </row>
    <row r="920" spans="3:3" ht="13.9" customHeight="1">
      <c r="C920" s="130"/>
    </row>
    <row r="921" spans="3:3" ht="13.9" customHeight="1">
      <c r="C921" s="130"/>
    </row>
    <row r="922" spans="3:3" ht="13.9" customHeight="1">
      <c r="C922" s="130"/>
    </row>
    <row r="923" spans="3:3" ht="13.9" customHeight="1">
      <c r="C923" s="130"/>
    </row>
    <row r="924" spans="3:3" ht="13.9" customHeight="1">
      <c r="C924" s="130"/>
    </row>
    <row r="925" spans="3:3" ht="13.9" customHeight="1">
      <c r="C925" s="130"/>
    </row>
    <row r="926" spans="3:3" ht="13.9" customHeight="1">
      <c r="C926" s="130"/>
    </row>
    <row r="927" spans="3:3" ht="13.9" customHeight="1">
      <c r="C927" s="130"/>
    </row>
    <row r="928" spans="3:3" ht="13.9" customHeight="1">
      <c r="C928" s="130"/>
    </row>
    <row r="929" spans="3:3" ht="13.9" customHeight="1">
      <c r="C929" s="130"/>
    </row>
    <row r="930" spans="3:3" ht="13.9" customHeight="1">
      <c r="C930" s="130"/>
    </row>
    <row r="931" spans="3:3" ht="13.9" customHeight="1">
      <c r="C931" s="130"/>
    </row>
    <row r="932" spans="3:3" ht="13.9" customHeight="1">
      <c r="C932" s="130"/>
    </row>
    <row r="933" spans="3:3" ht="13.9" customHeight="1">
      <c r="C933" s="130"/>
    </row>
    <row r="934" spans="3:3" ht="13.9" customHeight="1">
      <c r="C934" s="130"/>
    </row>
    <row r="935" spans="3:3" ht="13.9" customHeight="1">
      <c r="C935" s="130"/>
    </row>
    <row r="936" spans="3:3" ht="13.9" customHeight="1">
      <c r="C936" s="130"/>
    </row>
    <row r="937" spans="3:3" ht="13.9" customHeight="1">
      <c r="C937" s="130"/>
    </row>
    <row r="938" spans="3:3" ht="13.9" customHeight="1">
      <c r="C938" s="130"/>
    </row>
    <row r="939" spans="3:3" ht="13.9" customHeight="1">
      <c r="C939" s="130"/>
    </row>
    <row r="940" spans="3:3" ht="13.9" customHeight="1">
      <c r="C940" s="130"/>
    </row>
    <row r="941" spans="3:3" ht="13.9" customHeight="1">
      <c r="C941" s="130"/>
    </row>
    <row r="942" spans="3:3" ht="13.9" customHeight="1">
      <c r="C942" s="130"/>
    </row>
    <row r="943" spans="3:3" ht="13.9" customHeight="1">
      <c r="C943" s="130"/>
    </row>
    <row r="944" spans="3:3" ht="13.9" customHeight="1">
      <c r="C944" s="130"/>
    </row>
    <row r="945" spans="3:3" ht="13.9" customHeight="1">
      <c r="C945" s="130"/>
    </row>
    <row r="946" spans="3:3" ht="13.9" customHeight="1">
      <c r="C946" s="130"/>
    </row>
    <row r="947" spans="3:3" ht="13.9" customHeight="1">
      <c r="C947" s="130"/>
    </row>
    <row r="948" spans="3:3" ht="13.9" customHeight="1">
      <c r="C948" s="130"/>
    </row>
    <row r="949" spans="3:3" ht="13.9" customHeight="1">
      <c r="C949" s="130"/>
    </row>
    <row r="950" spans="3:3" ht="13.9" customHeight="1">
      <c r="C950" s="130"/>
    </row>
    <row r="951" spans="3:3" ht="13.9" customHeight="1">
      <c r="C951" s="130"/>
    </row>
    <row r="952" spans="3:3" ht="13.9" customHeight="1">
      <c r="C952" s="130"/>
    </row>
    <row r="953" spans="3:3" ht="13.9" customHeight="1">
      <c r="C953" s="130"/>
    </row>
    <row r="954" spans="3:3" ht="13.9" customHeight="1">
      <c r="C954" s="130"/>
    </row>
    <row r="955" spans="3:3" ht="13.9" customHeight="1">
      <c r="C955" s="130"/>
    </row>
    <row r="956" spans="3:3" ht="13.9" customHeight="1">
      <c r="C956" s="130"/>
    </row>
    <row r="957" spans="3:3" ht="13.9" customHeight="1">
      <c r="C957" s="130"/>
    </row>
    <row r="958" spans="3:3" ht="13.9" customHeight="1">
      <c r="C958" s="130"/>
    </row>
    <row r="959" spans="3:3" ht="13.9" customHeight="1">
      <c r="C959" s="130"/>
    </row>
    <row r="960" spans="3:3" ht="13.9" customHeight="1">
      <c r="C960" s="130"/>
    </row>
    <row r="961" spans="3:3" ht="13.9" customHeight="1">
      <c r="C961" s="130"/>
    </row>
    <row r="962" spans="3:3" ht="13.9" customHeight="1">
      <c r="C962" s="130"/>
    </row>
    <row r="963" spans="3:3" ht="13.9" customHeight="1">
      <c r="C963" s="130"/>
    </row>
    <row r="964" spans="3:3" ht="13.9" customHeight="1">
      <c r="C964" s="130"/>
    </row>
    <row r="965" spans="3:3" ht="13.9" customHeight="1">
      <c r="C965" s="130"/>
    </row>
    <row r="966" spans="3:3" ht="13.9" customHeight="1">
      <c r="C966" s="130"/>
    </row>
    <row r="967" spans="3:3" ht="13.9" customHeight="1">
      <c r="C967" s="130"/>
    </row>
    <row r="968" spans="3:3" ht="13.9" customHeight="1">
      <c r="C968" s="130"/>
    </row>
    <row r="969" spans="3:3" ht="13.9" customHeight="1">
      <c r="C969" s="130"/>
    </row>
    <row r="970" spans="3:3" ht="13.9" customHeight="1">
      <c r="C970" s="130"/>
    </row>
    <row r="971" spans="3:3" ht="13.9" customHeight="1">
      <c r="C971" s="130"/>
    </row>
    <row r="972" spans="3:3" ht="13.9" customHeight="1">
      <c r="C972" s="130"/>
    </row>
    <row r="973" spans="3:3" ht="13.9" customHeight="1">
      <c r="C973" s="130"/>
    </row>
    <row r="974" spans="3:3" ht="13.9" customHeight="1">
      <c r="C974" s="130"/>
    </row>
    <row r="975" spans="3:3" ht="13.9" customHeight="1">
      <c r="C975" s="130"/>
    </row>
    <row r="976" spans="3:3" ht="13.9" customHeight="1">
      <c r="C976" s="130"/>
    </row>
    <row r="977" spans="3:3" ht="13.9" customHeight="1">
      <c r="C977" s="130"/>
    </row>
    <row r="978" spans="3:3" ht="13.9" customHeight="1">
      <c r="C978" s="130"/>
    </row>
    <row r="979" spans="3:3" ht="13.9" customHeight="1">
      <c r="C979" s="130"/>
    </row>
    <row r="980" spans="3:3" ht="13.9" customHeight="1">
      <c r="C980" s="130"/>
    </row>
    <row r="981" spans="3:3" ht="13.9" customHeight="1">
      <c r="C981" s="130"/>
    </row>
    <row r="982" spans="3:3" ht="13.9" customHeight="1">
      <c r="C982" s="130"/>
    </row>
    <row r="983" spans="3:3" ht="13.9" customHeight="1">
      <c r="C983" s="130"/>
    </row>
    <row r="984" spans="3:3" ht="13.9" customHeight="1">
      <c r="C984" s="130"/>
    </row>
    <row r="985" spans="3:3" ht="13.9" customHeight="1">
      <c r="C985" s="130"/>
    </row>
    <row r="986" spans="3:3" ht="13.9" customHeight="1">
      <c r="C986" s="130"/>
    </row>
    <row r="987" spans="3:3" ht="13.9" customHeight="1">
      <c r="C987" s="130"/>
    </row>
    <row r="988" spans="3:3" ht="13.9" customHeight="1">
      <c r="C988" s="130"/>
    </row>
    <row r="989" spans="3:3" ht="13.9" customHeight="1">
      <c r="C989" s="130"/>
    </row>
    <row r="990" spans="3:3" ht="13.9" customHeight="1">
      <c r="C990" s="130"/>
    </row>
    <row r="991" spans="3:3" ht="13.9" customHeight="1">
      <c r="C991" s="130"/>
    </row>
    <row r="992" spans="3:3" ht="13.9" customHeight="1">
      <c r="C992" s="130"/>
    </row>
    <row r="993" spans="3:3" ht="13.9" customHeight="1">
      <c r="C993" s="130"/>
    </row>
    <row r="994" spans="3:3" ht="13.9" customHeight="1">
      <c r="C994" s="130"/>
    </row>
    <row r="995" spans="3:3" ht="13.9" customHeight="1">
      <c r="C995" s="130"/>
    </row>
    <row r="996" spans="3:3" ht="13.9" customHeight="1">
      <c r="C996" s="130"/>
    </row>
    <row r="997" spans="3:3" ht="13.9" customHeight="1">
      <c r="C997" s="130"/>
    </row>
    <row r="998" spans="3:3" ht="13.9" customHeight="1">
      <c r="C998" s="130"/>
    </row>
    <row r="999" spans="3:3" ht="13.9" customHeight="1">
      <c r="C999" s="130"/>
    </row>
    <row r="1000" spans="3:3" ht="13.9" customHeight="1">
      <c r="C1000" s="130"/>
    </row>
    <row r="1001" spans="3:3" ht="13.9" customHeight="1">
      <c r="C1001" s="130"/>
    </row>
    <row r="1002" spans="3:3" ht="13.9" customHeight="1">
      <c r="C1002" s="130"/>
    </row>
    <row r="1003" spans="3:3" ht="13.9" customHeight="1">
      <c r="C1003" s="130"/>
    </row>
  </sheetData>
  <phoneticPr fontId="1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7FFA-99AF-45B3-95B4-69BCDE0F89D2}">
  <dimension ref="A1:Q99"/>
  <sheetViews>
    <sheetView showGridLines="0" workbookViewId="0">
      <pane ySplit="3" topLeftCell="A4" activePane="bottomLeft" state="frozen"/>
      <selection pane="bottomLeft" activeCell="A4" sqref="A4"/>
    </sheetView>
  </sheetViews>
  <sheetFormatPr defaultColWidth="16.28515625" defaultRowHeight="13.9" customHeight="1"/>
  <cols>
    <col min="1" max="1" width="10" style="223" customWidth="1"/>
    <col min="2" max="2" width="17.140625" style="223" customWidth="1"/>
    <col min="3" max="3" width="9.85546875" style="223" customWidth="1"/>
    <col min="4" max="4" width="12.85546875" style="228" customWidth="1"/>
    <col min="5" max="5" width="9.85546875" style="228" customWidth="1"/>
    <col min="6" max="6" width="11.42578125" style="228" bestFit="1" customWidth="1"/>
    <col min="7" max="7" width="15.28515625" style="228" bestFit="1" customWidth="1"/>
    <col min="8" max="9" width="14.28515625" style="228" bestFit="1" customWidth="1"/>
    <col min="10" max="10" width="16.28515625" style="228" bestFit="1" customWidth="1"/>
    <col min="11" max="11" width="20.5703125" style="228" bestFit="1" customWidth="1"/>
    <col min="12" max="12" width="18.42578125" style="228" bestFit="1" customWidth="1"/>
    <col min="13" max="13" width="15.85546875" style="223" bestFit="1" customWidth="1"/>
    <col min="14" max="14" width="21.85546875" style="223" bestFit="1" customWidth="1"/>
    <col min="15" max="15" width="23.5703125" style="223" bestFit="1" customWidth="1"/>
    <col min="16" max="16" width="24.140625" style="223" bestFit="1" customWidth="1"/>
    <col min="17" max="39" width="9.7109375" style="223" customWidth="1"/>
    <col min="40" max="16384" width="16.28515625" style="223"/>
  </cols>
  <sheetData>
    <row r="1" spans="1:17" ht="13.9" customHeight="1">
      <c r="A1" s="222" t="s">
        <v>229</v>
      </c>
      <c r="B1" s="222" t="s">
        <v>757</v>
      </c>
      <c r="C1" s="222" t="s">
        <v>758</v>
      </c>
      <c r="D1" s="222" t="s">
        <v>759</v>
      </c>
      <c r="E1" s="222" t="s">
        <v>760</v>
      </c>
      <c r="F1" s="222" t="s">
        <v>761</v>
      </c>
      <c r="G1" s="222" t="s">
        <v>762</v>
      </c>
      <c r="H1" s="222" t="s">
        <v>763</v>
      </c>
      <c r="I1" s="222" t="s">
        <v>764</v>
      </c>
      <c r="J1" s="222" t="s">
        <v>765</v>
      </c>
      <c r="K1" s="222" t="s">
        <v>766</v>
      </c>
      <c r="L1" s="222" t="s">
        <v>767</v>
      </c>
      <c r="M1" s="222" t="s">
        <v>768</v>
      </c>
      <c r="N1" s="222" t="s">
        <v>769</v>
      </c>
      <c r="O1" s="222" t="s">
        <v>770</v>
      </c>
      <c r="P1" s="222" t="s">
        <v>771</v>
      </c>
    </row>
    <row r="2" spans="1:17" ht="13.9" customHeight="1">
      <c r="A2" s="224" t="s">
        <v>231</v>
      </c>
      <c r="B2" s="224" t="s">
        <v>772</v>
      </c>
      <c r="C2" s="224" t="s">
        <v>773</v>
      </c>
      <c r="D2" s="224" t="s">
        <v>774</v>
      </c>
      <c r="E2" s="224" t="s">
        <v>775</v>
      </c>
      <c r="F2" s="224" t="s">
        <v>776</v>
      </c>
      <c r="G2" s="224" t="s">
        <v>777</v>
      </c>
      <c r="H2" s="224" t="s">
        <v>778</v>
      </c>
      <c r="I2" s="224" t="s">
        <v>779</v>
      </c>
      <c r="J2" s="224" t="s">
        <v>780</v>
      </c>
      <c r="K2" s="224" t="s">
        <v>781</v>
      </c>
      <c r="L2" s="224" t="s">
        <v>782</v>
      </c>
      <c r="M2" s="224" t="s">
        <v>783</v>
      </c>
      <c r="N2" s="224" t="s">
        <v>784</v>
      </c>
      <c r="O2" s="224" t="s">
        <v>772</v>
      </c>
      <c r="P2" s="224" t="s">
        <v>785</v>
      </c>
    </row>
    <row r="3" spans="1:17" ht="13.9" customHeight="1">
      <c r="A3" s="225" t="s">
        <v>233</v>
      </c>
      <c r="B3" s="225" t="s">
        <v>234</v>
      </c>
      <c r="C3" s="225" t="s">
        <v>233</v>
      </c>
      <c r="D3" s="225" t="s">
        <v>233</v>
      </c>
      <c r="E3" s="225" t="s">
        <v>233</v>
      </c>
      <c r="F3" s="225" t="s">
        <v>233</v>
      </c>
      <c r="G3" s="225" t="s">
        <v>233</v>
      </c>
      <c r="H3" s="225" t="s">
        <v>233</v>
      </c>
      <c r="I3" s="225" t="s">
        <v>233</v>
      </c>
      <c r="J3" s="225" t="s">
        <v>233</v>
      </c>
      <c r="K3" s="225" t="s">
        <v>233</v>
      </c>
      <c r="L3" s="225" t="s">
        <v>233</v>
      </c>
      <c r="M3" s="225" t="s">
        <v>233</v>
      </c>
      <c r="N3" s="225" t="s">
        <v>233</v>
      </c>
      <c r="O3" s="225" t="s">
        <v>742</v>
      </c>
      <c r="P3" s="225" t="s">
        <v>742</v>
      </c>
    </row>
    <row r="4" spans="1:17" ht="13.9" customHeight="1">
      <c r="A4" s="226">
        <f>C4*ID규칙_학생_역할_단위+D4*ID규칙_학생_상세_역할_단위+E4*ID규칙_학생_등급_단위+COUNTIF($C$4:C4,C4)</f>
        <v>11301</v>
      </c>
      <c r="B4" s="227" t="s">
        <v>786</v>
      </c>
      <c r="C4" s="226">
        <v>1</v>
      </c>
      <c r="D4" s="226">
        <v>1</v>
      </c>
      <c r="E4" s="226">
        <v>3</v>
      </c>
      <c r="F4" s="226">
        <v>81</v>
      </c>
      <c r="G4" s="226">
        <v>2</v>
      </c>
      <c r="H4" s="226">
        <v>1</v>
      </c>
      <c r="I4" s="226">
        <v>1</v>
      </c>
      <c r="J4" s="226">
        <v>2</v>
      </c>
      <c r="K4" s="226">
        <v>4</v>
      </c>
      <c r="L4" s="226">
        <v>6</v>
      </c>
      <c r="M4" s="226">
        <f>C4*10000+D4*1000+E4*100+COUNTIF($C$4:C4,C4)</f>
        <v>11301</v>
      </c>
      <c r="N4" s="226">
        <f>IFERROR(VLOOKUP(B4,[1]STUDENT_UNIQUE_ITEM!$C:$D,2,0),0)</f>
        <v>11301</v>
      </c>
      <c r="O4" s="226" t="str">
        <f t="shared" ref="O4:O67" si="0">"STUDENT_NAME_"&amp;A4</f>
        <v>STUDENT_NAME_11301</v>
      </c>
      <c r="P4" s="226" t="str">
        <f t="shared" ref="P4:P67" si="1">"STUDENT_IMAGE_"&amp;A4</f>
        <v>STUDENT_IMAGE_11301</v>
      </c>
      <c r="Q4" s="228"/>
    </row>
    <row r="5" spans="1:17" ht="13.9" customHeight="1">
      <c r="A5" s="226">
        <f>C5*ID규칙_학생_역할_단위+D5*ID규칙_학생_상세_역할_단위+E5*ID규칙_학생_등급_단위+COUNTIF($C$4:C5,C5)</f>
        <v>12302</v>
      </c>
      <c r="B5" s="227" t="s">
        <v>787</v>
      </c>
      <c r="C5" s="226">
        <v>1</v>
      </c>
      <c r="D5" s="226">
        <v>2</v>
      </c>
      <c r="E5" s="226">
        <v>3</v>
      </c>
      <c r="F5" s="226">
        <v>81</v>
      </c>
      <c r="G5" s="226">
        <v>1</v>
      </c>
      <c r="H5" s="226">
        <v>2</v>
      </c>
      <c r="I5" s="226">
        <v>2</v>
      </c>
      <c r="J5" s="226">
        <v>6</v>
      </c>
      <c r="K5" s="226">
        <v>2</v>
      </c>
      <c r="L5" s="226">
        <v>4</v>
      </c>
      <c r="M5" s="226">
        <f>C5*10000+D5*1000+E5*100+COUNTIF($C$4:C5,C5)</f>
        <v>12302</v>
      </c>
      <c r="N5" s="226">
        <f>IFERROR(VLOOKUP(B5,[1]STUDENT_UNIQUE_ITEM!$C:$D,2,0),0)</f>
        <v>0</v>
      </c>
      <c r="O5" s="226" t="str">
        <f t="shared" si="0"/>
        <v>STUDENT_NAME_12302</v>
      </c>
      <c r="P5" s="226" t="str">
        <f t="shared" si="1"/>
        <v>STUDENT_IMAGE_12302</v>
      </c>
      <c r="Q5" s="228"/>
    </row>
    <row r="6" spans="1:17" ht="13.9" customHeight="1">
      <c r="A6" s="226">
        <f>C6*ID규칙_학생_역할_단위+D6*ID규칙_학생_상세_역할_단위+E6*ID규칙_학생_등급_단위+COUNTIF($C$4:C6,C6)</f>
        <v>11203</v>
      </c>
      <c r="B6" s="227" t="s">
        <v>788</v>
      </c>
      <c r="C6" s="226">
        <v>1</v>
      </c>
      <c r="D6" s="226">
        <v>1</v>
      </c>
      <c r="E6" s="226">
        <v>2</v>
      </c>
      <c r="F6" s="226">
        <v>81</v>
      </c>
      <c r="G6" s="226">
        <v>2</v>
      </c>
      <c r="H6" s="226">
        <v>1</v>
      </c>
      <c r="I6" s="226">
        <v>1</v>
      </c>
      <c r="J6" s="226">
        <v>3</v>
      </c>
      <c r="K6" s="226">
        <v>6</v>
      </c>
      <c r="L6" s="226">
        <v>3</v>
      </c>
      <c r="M6" s="226">
        <f>C6*10000+D6*1000+E6*100+COUNTIF($C$4:C6,C6)</f>
        <v>11203</v>
      </c>
      <c r="N6" s="226">
        <f>IFERROR(VLOOKUP(B6,[1]STUDENT_UNIQUE_ITEM!$C:$D,2,0),0)</f>
        <v>0</v>
      </c>
      <c r="O6" s="226" t="str">
        <f t="shared" si="0"/>
        <v>STUDENT_NAME_11203</v>
      </c>
      <c r="P6" s="226" t="str">
        <f t="shared" si="1"/>
        <v>STUDENT_IMAGE_11203</v>
      </c>
      <c r="Q6" s="228"/>
    </row>
    <row r="7" spans="1:17" ht="13.9" customHeight="1">
      <c r="A7" s="226">
        <f>C7*ID규칙_학생_역할_단위+D7*ID규칙_학생_상세_역할_단위+E7*ID규칙_학생_등급_단위+COUNTIF($C$4:C7,C7)</f>
        <v>11204</v>
      </c>
      <c r="B7" s="227" t="s">
        <v>789</v>
      </c>
      <c r="C7" s="226">
        <v>1</v>
      </c>
      <c r="D7" s="226">
        <v>1</v>
      </c>
      <c r="E7" s="226">
        <v>2</v>
      </c>
      <c r="F7" s="226">
        <v>81</v>
      </c>
      <c r="G7" s="226">
        <v>3</v>
      </c>
      <c r="H7" s="226">
        <v>2</v>
      </c>
      <c r="I7" s="226">
        <v>2</v>
      </c>
      <c r="J7" s="226">
        <v>3</v>
      </c>
      <c r="K7" s="226">
        <v>3</v>
      </c>
      <c r="L7" s="226">
        <v>6</v>
      </c>
      <c r="M7" s="226">
        <f>C7*10000+D7*1000+E7*100+COUNTIF($C$4:C7,C7)</f>
        <v>11204</v>
      </c>
      <c r="N7" s="226">
        <f>IFERROR(VLOOKUP(B7,[1]STUDENT_UNIQUE_ITEM!$C:$D,2,0),0)</f>
        <v>0</v>
      </c>
      <c r="O7" s="226" t="str">
        <f t="shared" si="0"/>
        <v>STUDENT_NAME_11204</v>
      </c>
      <c r="P7" s="226" t="str">
        <f t="shared" si="1"/>
        <v>STUDENT_IMAGE_11204</v>
      </c>
      <c r="Q7" s="228"/>
    </row>
    <row r="8" spans="1:17" ht="13.9" customHeight="1">
      <c r="A8" s="226">
        <f>C8*ID규칙_학생_역할_단위+D8*ID규칙_학생_상세_역할_단위+E8*ID규칙_학생_등급_단위+COUNTIF($C$4:C8,C8)</f>
        <v>23201</v>
      </c>
      <c r="B8" s="227" t="s">
        <v>790</v>
      </c>
      <c r="C8" s="226">
        <v>2</v>
      </c>
      <c r="D8" s="226">
        <v>3</v>
      </c>
      <c r="E8" s="226">
        <v>2</v>
      </c>
      <c r="F8" s="226">
        <v>81</v>
      </c>
      <c r="G8" s="226">
        <v>3</v>
      </c>
      <c r="H8" s="226">
        <v>2</v>
      </c>
      <c r="I8" s="226">
        <v>1</v>
      </c>
      <c r="J8" s="226">
        <v>6</v>
      </c>
      <c r="K8" s="226">
        <v>3</v>
      </c>
      <c r="L8" s="226">
        <v>3</v>
      </c>
      <c r="M8" s="226">
        <f>C8*10000+D8*1000+E8*100+COUNTIF($C$4:C8,C8)</f>
        <v>23201</v>
      </c>
      <c r="N8" s="226">
        <f>IFERROR(VLOOKUP(B8,[1]STUDENT_UNIQUE_ITEM!$C:$D,2,0),0)</f>
        <v>0</v>
      </c>
      <c r="O8" s="226" t="str">
        <f t="shared" si="0"/>
        <v>STUDENT_NAME_23201</v>
      </c>
      <c r="P8" s="226" t="str">
        <f t="shared" si="1"/>
        <v>STUDENT_IMAGE_23201</v>
      </c>
      <c r="Q8" s="228"/>
    </row>
    <row r="9" spans="1:17" ht="13.9" customHeight="1">
      <c r="A9" s="226">
        <f>C9*ID규칙_학생_역할_단위+D9*ID규칙_학생_상세_역할_단위+E9*ID규칙_학생_등급_단위+COUNTIF($C$4:C9,C9)</f>
        <v>11305</v>
      </c>
      <c r="B9" s="227" t="s">
        <v>791</v>
      </c>
      <c r="C9" s="226">
        <v>1</v>
      </c>
      <c r="D9" s="226">
        <v>1</v>
      </c>
      <c r="E9" s="226">
        <v>3</v>
      </c>
      <c r="F9" s="226">
        <v>81</v>
      </c>
      <c r="G9" s="226">
        <v>3</v>
      </c>
      <c r="H9" s="226">
        <v>1</v>
      </c>
      <c r="I9" s="226">
        <v>1</v>
      </c>
      <c r="J9" s="226">
        <v>2</v>
      </c>
      <c r="K9" s="226">
        <v>4</v>
      </c>
      <c r="L9" s="226">
        <v>6</v>
      </c>
      <c r="M9" s="226">
        <f>C9*10000+D9*1000+E9*100+COUNTIF($C$4:C9,C9)</f>
        <v>11305</v>
      </c>
      <c r="N9" s="226">
        <f>IFERROR(VLOOKUP(B9,[1]STUDENT_UNIQUE_ITEM!$C:$D,2,0),0)</f>
        <v>11305</v>
      </c>
      <c r="O9" s="226" t="str">
        <f t="shared" si="0"/>
        <v>STUDENT_NAME_11305</v>
      </c>
      <c r="P9" s="226" t="str">
        <f t="shared" si="1"/>
        <v>STUDENT_IMAGE_11305</v>
      </c>
      <c r="Q9" s="228"/>
    </row>
    <row r="10" spans="1:17" ht="13.9" customHeight="1">
      <c r="A10" s="226">
        <f>C10*ID규칙_학생_역할_단위+D10*ID규칙_학생_상세_역할_단위+E10*ID규칙_학생_등급_단위+COUNTIF($C$4:C10,C10)</f>
        <v>11206</v>
      </c>
      <c r="B10" s="227" t="s">
        <v>792</v>
      </c>
      <c r="C10" s="226">
        <v>1</v>
      </c>
      <c r="D10" s="226">
        <v>1</v>
      </c>
      <c r="E10" s="226">
        <v>2</v>
      </c>
      <c r="F10" s="226">
        <v>81</v>
      </c>
      <c r="G10" s="226">
        <v>3</v>
      </c>
      <c r="H10" s="226">
        <v>1</v>
      </c>
      <c r="I10" s="226">
        <v>1</v>
      </c>
      <c r="J10" s="226">
        <v>3</v>
      </c>
      <c r="K10" s="226">
        <v>3</v>
      </c>
      <c r="L10" s="226">
        <v>6</v>
      </c>
      <c r="M10" s="226">
        <f>C10*10000+D10*1000+E10*100+COUNTIF($C$4:C10,C10)</f>
        <v>11206</v>
      </c>
      <c r="N10" s="226">
        <f>IFERROR(VLOOKUP(B10,[1]STUDENT_UNIQUE_ITEM!$C:$D,2,0),0)</f>
        <v>0</v>
      </c>
      <c r="O10" s="226" t="str">
        <f t="shared" si="0"/>
        <v>STUDENT_NAME_11206</v>
      </c>
      <c r="P10" s="226" t="str">
        <f t="shared" si="1"/>
        <v>STUDENT_IMAGE_11206</v>
      </c>
    </row>
    <row r="11" spans="1:17" ht="13.9" customHeight="1">
      <c r="A11" s="226">
        <f>C11*ID규칙_학생_역할_단위+D11*ID규칙_학생_상세_역할_단위+E11*ID규칙_학생_등급_단위+COUNTIF($C$4:C11,C11)</f>
        <v>14207</v>
      </c>
      <c r="B11" s="227" t="s">
        <v>793</v>
      </c>
      <c r="C11" s="226">
        <v>1</v>
      </c>
      <c r="D11" s="226">
        <v>4</v>
      </c>
      <c r="E11" s="226">
        <v>2</v>
      </c>
      <c r="F11" s="226">
        <v>81</v>
      </c>
      <c r="G11" s="226">
        <v>1</v>
      </c>
      <c r="H11" s="226">
        <v>1</v>
      </c>
      <c r="I11" s="226">
        <v>2</v>
      </c>
      <c r="J11" s="226">
        <v>3</v>
      </c>
      <c r="K11" s="226">
        <v>6</v>
      </c>
      <c r="L11" s="226">
        <v>3</v>
      </c>
      <c r="M11" s="226">
        <f>C11*10000+D11*1000+E11*100+COUNTIF($C$4:C11,C11)</f>
        <v>14207</v>
      </c>
      <c r="N11" s="226">
        <f>IFERROR(VLOOKUP(B11,[1]STUDENT_UNIQUE_ITEM!$C:$D,2,0),0)</f>
        <v>0</v>
      </c>
      <c r="O11" s="226" t="str">
        <f t="shared" si="0"/>
        <v>STUDENT_NAME_14207</v>
      </c>
      <c r="P11" s="226" t="str">
        <f t="shared" si="1"/>
        <v>STUDENT_IMAGE_14207</v>
      </c>
    </row>
    <row r="12" spans="1:17" ht="13.9" customHeight="1">
      <c r="A12" s="226">
        <f>C12*ID규칙_학생_역할_단위+D12*ID규칙_학생_상세_역할_단위+E12*ID규칙_학생_등급_단위+COUNTIF($C$4:C12,C12)</f>
        <v>11108</v>
      </c>
      <c r="B12" s="227" t="s">
        <v>794</v>
      </c>
      <c r="C12" s="226">
        <v>1</v>
      </c>
      <c r="D12" s="226">
        <v>1</v>
      </c>
      <c r="E12" s="226">
        <v>1</v>
      </c>
      <c r="F12" s="226">
        <v>81</v>
      </c>
      <c r="G12" s="226">
        <v>1</v>
      </c>
      <c r="H12" s="226">
        <v>1</v>
      </c>
      <c r="I12" s="226">
        <v>1</v>
      </c>
      <c r="J12" s="226">
        <v>5</v>
      </c>
      <c r="K12" s="226">
        <v>4</v>
      </c>
      <c r="L12" s="226">
        <v>3</v>
      </c>
      <c r="M12" s="226">
        <f>C12*10000+D12*1000+E12*100+COUNTIF($C$4:C12,C12)</f>
        <v>11108</v>
      </c>
      <c r="N12" s="226">
        <f>IFERROR(VLOOKUP(B12,[1]STUDENT_UNIQUE_ITEM!$C:$D,2,0),0)</f>
        <v>0</v>
      </c>
      <c r="O12" s="226" t="str">
        <f t="shared" si="0"/>
        <v>STUDENT_NAME_11108</v>
      </c>
      <c r="P12" s="226" t="str">
        <f t="shared" si="1"/>
        <v>STUDENT_IMAGE_11108</v>
      </c>
    </row>
    <row r="13" spans="1:17" ht="13.9" customHeight="1">
      <c r="A13" s="226">
        <f>C13*ID규칙_학생_역할_단위+D13*ID규칙_학생_상세_역할_단위+E13*ID규칙_학생_등급_단위+COUNTIF($C$4:C13,C13)</f>
        <v>11309</v>
      </c>
      <c r="B13" s="227" t="s">
        <v>795</v>
      </c>
      <c r="C13" s="226">
        <v>1</v>
      </c>
      <c r="D13" s="226">
        <v>1</v>
      </c>
      <c r="E13" s="226">
        <v>3</v>
      </c>
      <c r="F13" s="226">
        <v>81</v>
      </c>
      <c r="G13" s="226">
        <v>3</v>
      </c>
      <c r="H13" s="226">
        <v>1</v>
      </c>
      <c r="I13" s="226">
        <v>2</v>
      </c>
      <c r="J13" s="226">
        <v>2</v>
      </c>
      <c r="K13" s="226">
        <v>6</v>
      </c>
      <c r="L13" s="226">
        <v>6</v>
      </c>
      <c r="M13" s="226">
        <f>C13*10000+D13*1000+E13*100+COUNTIF($C$4:C13,C13)</f>
        <v>11309</v>
      </c>
      <c r="N13" s="226">
        <f>IFERROR(VLOOKUP(B13,[1]STUDENT_UNIQUE_ITEM!$C:$D,2,0),0)</f>
        <v>11309</v>
      </c>
      <c r="O13" s="226" t="str">
        <f t="shared" si="0"/>
        <v>STUDENT_NAME_11309</v>
      </c>
      <c r="P13" s="226" t="str">
        <f t="shared" si="1"/>
        <v>STUDENT_IMAGE_11309</v>
      </c>
    </row>
    <row r="14" spans="1:17" ht="13.9" customHeight="1">
      <c r="A14" s="226">
        <f>C14*ID규칙_학생_역할_단위+D14*ID규칙_학생_상세_역할_단위+E14*ID규칙_학생_등급_단위+COUNTIF($C$4:C14,C14)</f>
        <v>24302</v>
      </c>
      <c r="B14" s="227" t="s">
        <v>796</v>
      </c>
      <c r="C14" s="226">
        <v>2</v>
      </c>
      <c r="D14" s="226">
        <v>4</v>
      </c>
      <c r="E14" s="226">
        <v>3</v>
      </c>
      <c r="F14" s="226">
        <v>81</v>
      </c>
      <c r="G14" s="226">
        <v>3</v>
      </c>
      <c r="H14" s="226">
        <v>3</v>
      </c>
      <c r="I14" s="226">
        <v>2</v>
      </c>
      <c r="J14" s="226">
        <v>6</v>
      </c>
      <c r="K14" s="226">
        <v>4</v>
      </c>
      <c r="L14" s="226">
        <v>2</v>
      </c>
      <c r="M14" s="226">
        <f>C14*10000+D14*1000+E14*100+COUNTIF($C$4:C14,C14)</f>
        <v>24302</v>
      </c>
      <c r="N14" s="226">
        <f>IFERROR(VLOOKUP(B14,[1]STUDENT_UNIQUE_ITEM!$C:$D,2,0),0)</f>
        <v>0</v>
      </c>
      <c r="O14" s="226" t="str">
        <f t="shared" si="0"/>
        <v>STUDENT_NAME_24302</v>
      </c>
      <c r="P14" s="226" t="str">
        <f t="shared" si="1"/>
        <v>STUDENT_IMAGE_24302</v>
      </c>
    </row>
    <row r="15" spans="1:17" ht="13.9" customHeight="1">
      <c r="A15" s="226">
        <f>C15*ID규칙_학생_역할_단위+D15*ID규칙_학생_상세_역할_단위+E15*ID규칙_학생_등급_단위+COUNTIF($C$4:C15,C15)</f>
        <v>11310</v>
      </c>
      <c r="B15" s="227" t="s">
        <v>797</v>
      </c>
      <c r="C15" s="226">
        <v>1</v>
      </c>
      <c r="D15" s="226">
        <v>1</v>
      </c>
      <c r="E15" s="226">
        <v>3</v>
      </c>
      <c r="F15" s="226">
        <v>81</v>
      </c>
      <c r="G15" s="226">
        <v>3</v>
      </c>
      <c r="H15" s="226">
        <v>1</v>
      </c>
      <c r="I15" s="226">
        <v>3</v>
      </c>
      <c r="J15" s="226">
        <v>5</v>
      </c>
      <c r="K15" s="226">
        <v>5</v>
      </c>
      <c r="L15" s="226">
        <v>2</v>
      </c>
      <c r="M15" s="226">
        <f>C15*10000+D15*1000+E15*100+COUNTIF($C$4:C15,C15)</f>
        <v>11310</v>
      </c>
      <c r="N15" s="226">
        <f>IFERROR(VLOOKUP(B15,[1]STUDENT_UNIQUE_ITEM!$C:$D,2,0),0)</f>
        <v>0</v>
      </c>
      <c r="O15" s="226" t="str">
        <f t="shared" si="0"/>
        <v>STUDENT_NAME_11310</v>
      </c>
      <c r="P15" s="226" t="str">
        <f t="shared" si="1"/>
        <v>STUDENT_IMAGE_11310</v>
      </c>
    </row>
    <row r="16" spans="1:17" ht="13.9" customHeight="1">
      <c r="A16" s="226">
        <f>C16*ID규칙_학생_역할_단위+D16*ID규칙_학생_상세_역할_단위+E16*ID규칙_학생_등급_단위+COUNTIF($C$4:C16,C16)</f>
        <v>23103</v>
      </c>
      <c r="B16" s="227" t="s">
        <v>798</v>
      </c>
      <c r="C16" s="226">
        <v>2</v>
      </c>
      <c r="D16" s="226">
        <v>3</v>
      </c>
      <c r="E16" s="226">
        <v>1</v>
      </c>
      <c r="F16" s="226">
        <v>81</v>
      </c>
      <c r="G16" s="226">
        <v>3</v>
      </c>
      <c r="H16" s="226">
        <v>2</v>
      </c>
      <c r="I16" s="226">
        <v>1</v>
      </c>
      <c r="J16" s="226">
        <v>4</v>
      </c>
      <c r="K16" s="226">
        <v>4</v>
      </c>
      <c r="L16" s="226">
        <v>4</v>
      </c>
      <c r="M16" s="226">
        <f>C16*10000+D16*1000+E16*100+COUNTIF($C$4:C16,C16)</f>
        <v>23103</v>
      </c>
      <c r="N16" s="226">
        <f>IFERROR(VLOOKUP(B16,[1]STUDENT_UNIQUE_ITEM!$C:$D,2,0),0)</f>
        <v>0</v>
      </c>
      <c r="O16" s="226" t="str">
        <f t="shared" si="0"/>
        <v>STUDENT_NAME_23103</v>
      </c>
      <c r="P16" s="226" t="str">
        <f t="shared" si="1"/>
        <v>STUDENT_IMAGE_23103</v>
      </c>
    </row>
    <row r="17" spans="1:16" ht="13.9" customHeight="1">
      <c r="A17" s="226">
        <f>C17*ID규칙_학생_역할_단위+D17*ID규칙_학생_상세_역할_단위+E17*ID규칙_학생_등급_단위+COUNTIF($C$4:C17,C17)</f>
        <v>11311</v>
      </c>
      <c r="B17" s="227" t="s">
        <v>799</v>
      </c>
      <c r="C17" s="226">
        <v>1</v>
      </c>
      <c r="D17" s="226">
        <v>1</v>
      </c>
      <c r="E17" s="226">
        <v>3</v>
      </c>
      <c r="F17" s="226">
        <v>81</v>
      </c>
      <c r="G17" s="226">
        <v>3</v>
      </c>
      <c r="H17" s="226">
        <v>1</v>
      </c>
      <c r="I17" s="226">
        <v>1</v>
      </c>
      <c r="J17" s="226">
        <v>2</v>
      </c>
      <c r="K17" s="226">
        <v>6</v>
      </c>
      <c r="L17" s="226">
        <v>4</v>
      </c>
      <c r="M17" s="226">
        <f>C17*10000+D17*1000+E17*100+COUNTIF($C$4:C17,C17)</f>
        <v>11311</v>
      </c>
      <c r="N17" s="226">
        <f>IFERROR(VLOOKUP(B17,[1]STUDENT_UNIQUE_ITEM!$C:$D,2,0),0)</f>
        <v>0</v>
      </c>
      <c r="O17" s="226" t="str">
        <f t="shared" si="0"/>
        <v>STUDENT_NAME_11311</v>
      </c>
      <c r="P17" s="226" t="str">
        <f t="shared" si="1"/>
        <v>STUDENT_IMAGE_11311</v>
      </c>
    </row>
    <row r="18" spans="1:16" ht="13.9" customHeight="1">
      <c r="A18" s="226">
        <f>C18*ID규칙_학생_역할_단위+D18*ID규칙_학생_상세_역할_단위+E18*ID규칙_학생_등급_단위+COUNTIF($C$4:C18,C18)</f>
        <v>11212</v>
      </c>
      <c r="B18" s="227" t="s">
        <v>800</v>
      </c>
      <c r="C18" s="226">
        <v>1</v>
      </c>
      <c r="D18" s="226">
        <v>1</v>
      </c>
      <c r="E18" s="226">
        <v>2</v>
      </c>
      <c r="F18" s="226">
        <v>81</v>
      </c>
      <c r="G18" s="226">
        <v>2</v>
      </c>
      <c r="H18" s="226">
        <v>2</v>
      </c>
      <c r="I18" s="226">
        <v>1</v>
      </c>
      <c r="J18" s="226">
        <v>4</v>
      </c>
      <c r="K18" s="226">
        <v>3</v>
      </c>
      <c r="L18" s="226">
        <v>4</v>
      </c>
      <c r="M18" s="226">
        <f>C18*10000+D18*1000+E18*100+COUNTIF($C$4:C18,C18)</f>
        <v>11212</v>
      </c>
      <c r="N18" s="226">
        <f>IFERROR(VLOOKUP(B18,[1]STUDENT_UNIQUE_ITEM!$C:$D,2,0),0)</f>
        <v>11212</v>
      </c>
      <c r="O18" s="226" t="str">
        <f t="shared" si="0"/>
        <v>STUDENT_NAME_11212</v>
      </c>
      <c r="P18" s="226" t="str">
        <f t="shared" si="1"/>
        <v>STUDENT_IMAGE_11212</v>
      </c>
    </row>
    <row r="19" spans="1:16" ht="13.9" customHeight="1">
      <c r="A19" s="226">
        <f>C19*ID규칙_학생_역할_단위+D19*ID규칙_학생_상세_역할_단위+E19*ID규칙_학생_등급_단위+COUNTIF($C$4:C19,C19)</f>
        <v>11313</v>
      </c>
      <c r="B19" s="227" t="s">
        <v>801</v>
      </c>
      <c r="C19" s="226">
        <v>1</v>
      </c>
      <c r="D19" s="226">
        <v>1</v>
      </c>
      <c r="E19" s="226">
        <v>3</v>
      </c>
      <c r="F19" s="226">
        <v>81</v>
      </c>
      <c r="G19" s="226">
        <v>3</v>
      </c>
      <c r="H19" s="226">
        <v>1</v>
      </c>
      <c r="I19" s="226">
        <v>1</v>
      </c>
      <c r="J19" s="226">
        <v>2</v>
      </c>
      <c r="K19" s="226">
        <v>6</v>
      </c>
      <c r="L19" s="226">
        <v>4</v>
      </c>
      <c r="M19" s="226">
        <f>C19*10000+D19*1000+E19*100+COUNTIF($C$4:C19,C19)</f>
        <v>11313</v>
      </c>
      <c r="N19" s="226">
        <f>IFERROR(VLOOKUP(B19,[1]STUDENT_UNIQUE_ITEM!$C:$D,2,0),0)</f>
        <v>11313</v>
      </c>
      <c r="O19" s="226" t="str">
        <f t="shared" si="0"/>
        <v>STUDENT_NAME_11313</v>
      </c>
      <c r="P19" s="226" t="str">
        <f t="shared" si="1"/>
        <v>STUDENT_IMAGE_11313</v>
      </c>
    </row>
    <row r="20" spans="1:16" ht="13.9" customHeight="1">
      <c r="A20" s="226">
        <f>C20*ID규칙_학생_역할_단위+D20*ID규칙_학생_상세_역할_단위+E20*ID규칙_학생_등급_단위+COUNTIF($C$4:C20,C20)</f>
        <v>11214</v>
      </c>
      <c r="B20" s="227" t="s">
        <v>802</v>
      </c>
      <c r="C20" s="226">
        <v>1</v>
      </c>
      <c r="D20" s="226">
        <v>1</v>
      </c>
      <c r="E20" s="226">
        <v>2</v>
      </c>
      <c r="F20" s="226">
        <v>81</v>
      </c>
      <c r="G20" s="226">
        <v>2</v>
      </c>
      <c r="H20" s="226">
        <v>1</v>
      </c>
      <c r="I20" s="226">
        <v>2</v>
      </c>
      <c r="J20" s="226">
        <v>3</v>
      </c>
      <c r="K20" s="226">
        <v>4</v>
      </c>
      <c r="L20" s="226">
        <v>4</v>
      </c>
      <c r="M20" s="226">
        <f>C20*10000+D20*1000+E20*100+COUNTIF($C$4:C20,C20)</f>
        <v>11214</v>
      </c>
      <c r="N20" s="226">
        <f>IFERROR(VLOOKUP(B20,[1]STUDENT_UNIQUE_ITEM!$C:$D,2,0),0)</f>
        <v>0</v>
      </c>
      <c r="O20" s="226" t="str">
        <f t="shared" si="0"/>
        <v>STUDENT_NAME_11214</v>
      </c>
      <c r="P20" s="226" t="str">
        <f t="shared" si="1"/>
        <v>STUDENT_IMAGE_11214</v>
      </c>
    </row>
    <row r="21" spans="1:16" ht="13.9" customHeight="1">
      <c r="A21" s="226">
        <f>C21*ID규칙_학생_역할_단위+D21*ID규칙_학생_상세_역할_단위+E21*ID규칙_학생_등급_단위+COUNTIF($C$4:C21,C21)</f>
        <v>23204</v>
      </c>
      <c r="B21" s="227" t="s">
        <v>803</v>
      </c>
      <c r="C21" s="226">
        <v>2</v>
      </c>
      <c r="D21" s="226">
        <v>3</v>
      </c>
      <c r="E21" s="226">
        <v>2</v>
      </c>
      <c r="F21" s="226">
        <v>81</v>
      </c>
      <c r="G21" s="226">
        <v>3</v>
      </c>
      <c r="H21" s="226">
        <v>1</v>
      </c>
      <c r="I21" s="226">
        <v>2</v>
      </c>
      <c r="J21" s="226">
        <v>3</v>
      </c>
      <c r="K21" s="226">
        <v>3</v>
      </c>
      <c r="L21" s="226">
        <v>6</v>
      </c>
      <c r="M21" s="226">
        <f>C21*10000+D21*1000+E21*100+COUNTIF($C$4:C21,C21)</f>
        <v>23204</v>
      </c>
      <c r="N21" s="226">
        <f>IFERROR(VLOOKUP(B21,[1]STUDENT_UNIQUE_ITEM!$C:$D,2,0),0)</f>
        <v>0</v>
      </c>
      <c r="O21" s="226" t="str">
        <f t="shared" si="0"/>
        <v>STUDENT_NAME_23204</v>
      </c>
      <c r="P21" s="226" t="str">
        <f t="shared" si="1"/>
        <v>STUDENT_IMAGE_23204</v>
      </c>
    </row>
    <row r="22" spans="1:16" ht="13.9" customHeight="1">
      <c r="A22" s="226">
        <f>C22*ID규칙_학생_역할_단위+D22*ID규칙_학생_상세_역할_단위+E22*ID규칙_학생_등급_단위+COUNTIF($C$4:C22,C22)</f>
        <v>24105</v>
      </c>
      <c r="B22" s="227" t="s">
        <v>804</v>
      </c>
      <c r="C22" s="226">
        <v>2</v>
      </c>
      <c r="D22" s="226">
        <v>4</v>
      </c>
      <c r="E22" s="226">
        <v>1</v>
      </c>
      <c r="F22" s="226">
        <v>81</v>
      </c>
      <c r="G22" s="226">
        <v>3</v>
      </c>
      <c r="H22" s="226">
        <v>1</v>
      </c>
      <c r="I22" s="226">
        <v>1</v>
      </c>
      <c r="J22" s="226">
        <v>5</v>
      </c>
      <c r="K22" s="226">
        <v>4</v>
      </c>
      <c r="L22" s="226">
        <v>3</v>
      </c>
      <c r="M22" s="226">
        <f>C22*10000+D22*1000+E22*100+COUNTIF($C$4:C22,C22)</f>
        <v>24105</v>
      </c>
      <c r="N22" s="226">
        <f>IFERROR(VLOOKUP(B22,[1]STUDENT_UNIQUE_ITEM!$C:$D,2,0),0)</f>
        <v>0</v>
      </c>
      <c r="O22" s="226" t="str">
        <f t="shared" si="0"/>
        <v>STUDENT_NAME_24105</v>
      </c>
      <c r="P22" s="226" t="str">
        <f t="shared" si="1"/>
        <v>STUDENT_IMAGE_24105</v>
      </c>
    </row>
    <row r="23" spans="1:16" ht="13.9" customHeight="1">
      <c r="A23" s="226">
        <f>C23*ID규칙_학생_역할_단위+D23*ID규칙_학생_상세_역할_단위+E23*ID규칙_학생_등급_단위+COUNTIF($C$4:C23,C23)</f>
        <v>25306</v>
      </c>
      <c r="B23" s="227" t="s">
        <v>805</v>
      </c>
      <c r="C23" s="226">
        <v>2</v>
      </c>
      <c r="D23" s="226">
        <v>5</v>
      </c>
      <c r="E23" s="226">
        <v>3</v>
      </c>
      <c r="F23" s="226">
        <v>81</v>
      </c>
      <c r="G23" s="226">
        <v>3</v>
      </c>
      <c r="H23" s="226">
        <v>3</v>
      </c>
      <c r="I23" s="226">
        <v>1</v>
      </c>
      <c r="J23" s="226">
        <v>4</v>
      </c>
      <c r="K23" s="226">
        <v>2</v>
      </c>
      <c r="L23" s="226">
        <v>6</v>
      </c>
      <c r="M23" s="226">
        <f>C23*10000+D23*1000+E23*100+COUNTIF($C$4:C23,C23)</f>
        <v>25306</v>
      </c>
      <c r="N23" s="226">
        <f>IFERROR(VLOOKUP(B23,[1]STUDENT_UNIQUE_ITEM!$C:$D,2,0),0)</f>
        <v>0</v>
      </c>
      <c r="O23" s="226" t="str">
        <f t="shared" si="0"/>
        <v>STUDENT_NAME_25306</v>
      </c>
      <c r="P23" s="226" t="str">
        <f t="shared" si="1"/>
        <v>STUDENT_IMAGE_25306</v>
      </c>
    </row>
    <row r="24" spans="1:16" ht="13.9" customHeight="1">
      <c r="A24" s="226">
        <f>C24*ID규칙_학생_역할_단위+D24*ID규칙_학생_상세_역할_단위+E24*ID규칙_학생_등급_단위+COUNTIF($C$4:C24,C24)</f>
        <v>25307</v>
      </c>
      <c r="B24" s="227" t="s">
        <v>806</v>
      </c>
      <c r="C24" s="226">
        <v>2</v>
      </c>
      <c r="D24" s="226">
        <v>5</v>
      </c>
      <c r="E24" s="226">
        <v>3</v>
      </c>
      <c r="F24" s="226">
        <v>81</v>
      </c>
      <c r="G24" s="226">
        <v>3</v>
      </c>
      <c r="H24" s="226">
        <v>3</v>
      </c>
      <c r="I24" s="226">
        <v>2</v>
      </c>
      <c r="J24" s="226">
        <v>6</v>
      </c>
      <c r="K24" s="226">
        <v>4</v>
      </c>
      <c r="L24" s="226">
        <v>2</v>
      </c>
      <c r="M24" s="226">
        <f>C24*10000+D24*1000+E24*100+COUNTIF($C$4:C24,C24)</f>
        <v>25307</v>
      </c>
      <c r="N24" s="226">
        <f>IFERROR(VLOOKUP(B24,[1]STUDENT_UNIQUE_ITEM!$C:$D,2,0),0)</f>
        <v>0</v>
      </c>
      <c r="O24" s="226" t="str">
        <f t="shared" si="0"/>
        <v>STUDENT_NAME_25307</v>
      </c>
      <c r="P24" s="226" t="str">
        <f t="shared" si="1"/>
        <v>STUDENT_IMAGE_25307</v>
      </c>
    </row>
    <row r="25" spans="1:16" ht="13.9" customHeight="1">
      <c r="A25" s="226">
        <f>C25*ID규칙_학생_역할_단위+D25*ID규칙_학생_상세_역할_단위+E25*ID규칙_학생_등급_단위+COUNTIF($C$4:C25,C25)</f>
        <v>11315</v>
      </c>
      <c r="B25" s="227" t="s">
        <v>807</v>
      </c>
      <c r="C25" s="226">
        <v>1</v>
      </c>
      <c r="D25" s="226">
        <v>1</v>
      </c>
      <c r="E25" s="226">
        <v>3</v>
      </c>
      <c r="F25" s="226">
        <v>81</v>
      </c>
      <c r="G25" s="226">
        <v>1</v>
      </c>
      <c r="H25" s="226">
        <v>1</v>
      </c>
      <c r="I25" s="226">
        <v>3</v>
      </c>
      <c r="J25" s="226">
        <v>6</v>
      </c>
      <c r="K25" s="226">
        <v>2</v>
      </c>
      <c r="L25" s="226">
        <v>4</v>
      </c>
      <c r="M25" s="226">
        <f>C25*10000+D25*1000+E25*100+COUNTIF($C$4:C25,C25)</f>
        <v>11315</v>
      </c>
      <c r="N25" s="226">
        <f>IFERROR(VLOOKUP(B25,[1]STUDENT_UNIQUE_ITEM!$C:$D,2,0),0)</f>
        <v>0</v>
      </c>
      <c r="O25" s="226" t="str">
        <f t="shared" si="0"/>
        <v>STUDENT_NAME_11315</v>
      </c>
      <c r="P25" s="226" t="str">
        <f t="shared" si="1"/>
        <v>STUDENT_IMAGE_11315</v>
      </c>
    </row>
    <row r="26" spans="1:16" ht="13.9" customHeight="1">
      <c r="A26" s="226">
        <f>C26*ID규칙_학생_역할_단위+D26*ID규칙_학생_상세_역할_단위+E26*ID규칙_학생_등급_단위+COUNTIF($C$4:C26,C26)</f>
        <v>14316</v>
      </c>
      <c r="B26" s="227" t="s">
        <v>808</v>
      </c>
      <c r="C26" s="226">
        <v>1</v>
      </c>
      <c r="D26" s="226">
        <v>4</v>
      </c>
      <c r="E26" s="226">
        <v>3</v>
      </c>
      <c r="F26" s="226">
        <v>81</v>
      </c>
      <c r="G26" s="226">
        <v>2</v>
      </c>
      <c r="H26" s="226">
        <v>3</v>
      </c>
      <c r="I26" s="226">
        <v>3</v>
      </c>
      <c r="J26" s="226">
        <v>6</v>
      </c>
      <c r="K26" s="226">
        <v>4</v>
      </c>
      <c r="L26" s="226">
        <v>2</v>
      </c>
      <c r="M26" s="226">
        <f>C26*10000+D26*1000+E26*100+COUNTIF($C$4:C26,C26)</f>
        <v>14316</v>
      </c>
      <c r="N26" s="226">
        <f>IFERROR(VLOOKUP(B26,[1]STUDENT_UNIQUE_ITEM!$C:$D,2,0),0)</f>
        <v>0</v>
      </c>
      <c r="O26" s="226" t="str">
        <f t="shared" si="0"/>
        <v>STUDENT_NAME_14316</v>
      </c>
      <c r="P26" s="226" t="str">
        <f t="shared" si="1"/>
        <v>STUDENT_IMAGE_14316</v>
      </c>
    </row>
    <row r="27" spans="1:16" ht="13.9" customHeight="1">
      <c r="A27" s="226">
        <f>C27*ID규칙_학생_역할_단위+D27*ID규칙_학생_상세_역할_단위+E27*ID규칙_학생_등급_단위+COUNTIF($C$4:C27,C27)</f>
        <v>12217</v>
      </c>
      <c r="B27" s="227" t="s">
        <v>809</v>
      </c>
      <c r="C27" s="226">
        <v>1</v>
      </c>
      <c r="D27" s="226">
        <v>2</v>
      </c>
      <c r="E27" s="226">
        <v>2</v>
      </c>
      <c r="F27" s="226">
        <v>81</v>
      </c>
      <c r="G27" s="226">
        <v>1</v>
      </c>
      <c r="H27" s="226">
        <v>1</v>
      </c>
      <c r="I27" s="226">
        <v>2</v>
      </c>
      <c r="J27" s="226">
        <v>4</v>
      </c>
      <c r="K27" s="226">
        <v>4</v>
      </c>
      <c r="L27" s="226">
        <v>3</v>
      </c>
      <c r="M27" s="226">
        <f>C27*10000+D27*1000+E27*100+COUNTIF($C$4:C27,C27)</f>
        <v>12217</v>
      </c>
      <c r="N27" s="226">
        <f>IFERROR(VLOOKUP(B27,[1]STUDENT_UNIQUE_ITEM!$C:$D,2,0),0)</f>
        <v>12217</v>
      </c>
      <c r="O27" s="226" t="str">
        <f t="shared" si="0"/>
        <v>STUDENT_NAME_12217</v>
      </c>
      <c r="P27" s="226" t="str">
        <f t="shared" si="1"/>
        <v>STUDENT_IMAGE_12217</v>
      </c>
    </row>
    <row r="28" spans="1:16" ht="13.9" customHeight="1">
      <c r="A28" s="226">
        <f>C28*ID규칙_학생_역할_단위+D28*ID규칙_학생_상세_역할_단위+E28*ID규칙_학생_등급_단위+COUNTIF($C$4:C28,C28)</f>
        <v>11318</v>
      </c>
      <c r="B28" s="227" t="s">
        <v>810</v>
      </c>
      <c r="C28" s="226">
        <v>1</v>
      </c>
      <c r="D28" s="226">
        <v>1</v>
      </c>
      <c r="E28" s="226">
        <v>3</v>
      </c>
      <c r="F28" s="226">
        <v>81</v>
      </c>
      <c r="G28" s="226">
        <v>3</v>
      </c>
      <c r="H28" s="226">
        <v>3</v>
      </c>
      <c r="I28" s="226">
        <v>2</v>
      </c>
      <c r="J28" s="226">
        <v>2</v>
      </c>
      <c r="K28" s="226">
        <v>6</v>
      </c>
      <c r="L28" s="226">
        <v>4</v>
      </c>
      <c r="M28" s="226">
        <f>C28*10000+D28*1000+E28*100+COUNTIF($C$4:C28,C28)</f>
        <v>11318</v>
      </c>
      <c r="N28" s="226">
        <f>IFERROR(VLOOKUP(B28,[1]STUDENT_UNIQUE_ITEM!$C:$D,2,0),0)</f>
        <v>0</v>
      </c>
      <c r="O28" s="226" t="str">
        <f t="shared" si="0"/>
        <v>STUDENT_NAME_11318</v>
      </c>
      <c r="P28" s="226" t="str">
        <f t="shared" si="1"/>
        <v>STUDENT_IMAGE_11318</v>
      </c>
    </row>
    <row r="29" spans="1:16" ht="13.9" customHeight="1">
      <c r="A29" s="226">
        <f>C29*ID규칙_학생_역할_단위+D29*ID규칙_학생_상세_역할_단위+E29*ID규칙_학생_등급_단위+COUNTIF($C$4:C29,C29)</f>
        <v>21308</v>
      </c>
      <c r="B29" s="227" t="s">
        <v>811</v>
      </c>
      <c r="C29" s="226">
        <v>2</v>
      </c>
      <c r="D29" s="226">
        <v>1</v>
      </c>
      <c r="E29" s="226">
        <v>3</v>
      </c>
      <c r="F29" s="226">
        <v>81</v>
      </c>
      <c r="G29" s="226">
        <v>3</v>
      </c>
      <c r="H29" s="226">
        <v>2</v>
      </c>
      <c r="I29" s="226">
        <v>2</v>
      </c>
      <c r="J29" s="226">
        <v>2</v>
      </c>
      <c r="K29" s="226">
        <v>6</v>
      </c>
      <c r="L29" s="226">
        <v>4</v>
      </c>
      <c r="M29" s="226">
        <f>C29*10000+D29*1000+E29*100+COUNTIF($C$4:C29,C29)</f>
        <v>21308</v>
      </c>
      <c r="N29" s="226">
        <f>IFERROR(VLOOKUP(B29,[1]STUDENT_UNIQUE_ITEM!$C:$D,2,0),0)</f>
        <v>0</v>
      </c>
      <c r="O29" s="226" t="str">
        <f t="shared" si="0"/>
        <v>STUDENT_NAME_21308</v>
      </c>
      <c r="P29" s="226" t="str">
        <f t="shared" si="1"/>
        <v>STUDENT_IMAGE_21308</v>
      </c>
    </row>
    <row r="30" spans="1:16" ht="13.9" customHeight="1">
      <c r="A30" s="226">
        <f>C30*ID규칙_학생_역할_단위+D30*ID규칙_학생_상세_역할_단위+E30*ID규칙_학생_등급_단위+COUNTIF($C$4:C30,C30)</f>
        <v>24209</v>
      </c>
      <c r="B30" s="227" t="s">
        <v>812</v>
      </c>
      <c r="C30" s="226">
        <v>2</v>
      </c>
      <c r="D30" s="226">
        <v>4</v>
      </c>
      <c r="E30" s="226">
        <v>2</v>
      </c>
      <c r="F30" s="226">
        <v>81</v>
      </c>
      <c r="G30" s="226">
        <v>3</v>
      </c>
      <c r="H30" s="226">
        <v>1</v>
      </c>
      <c r="I30" s="226">
        <v>1</v>
      </c>
      <c r="J30" s="226">
        <v>3</v>
      </c>
      <c r="K30" s="226">
        <v>4</v>
      </c>
      <c r="L30" s="226">
        <v>4</v>
      </c>
      <c r="M30" s="226">
        <f>C30*10000+D30*1000+E30*100+COUNTIF($C$4:C30,C30)</f>
        <v>24209</v>
      </c>
      <c r="N30" s="226">
        <f>IFERROR(VLOOKUP(B30,[1]STUDENT_UNIQUE_ITEM!$C:$D,2,0),0)</f>
        <v>24209</v>
      </c>
      <c r="O30" s="226" t="str">
        <f t="shared" si="0"/>
        <v>STUDENT_NAME_24209</v>
      </c>
      <c r="P30" s="226" t="str">
        <f t="shared" si="1"/>
        <v>STUDENT_IMAGE_24209</v>
      </c>
    </row>
    <row r="31" spans="1:16" ht="13.9" customHeight="1">
      <c r="A31" s="226">
        <f>C31*ID규칙_학생_역할_단위+D31*ID규칙_학생_상세_역할_단위+E31*ID규칙_학생_등급_단위+COUNTIF($C$4:C31,C31)</f>
        <v>11319</v>
      </c>
      <c r="B31" s="227" t="s">
        <v>813</v>
      </c>
      <c r="C31" s="226">
        <v>1</v>
      </c>
      <c r="D31" s="226">
        <v>1</v>
      </c>
      <c r="E31" s="226">
        <v>3</v>
      </c>
      <c r="F31" s="226">
        <v>81</v>
      </c>
      <c r="G31" s="226">
        <v>3</v>
      </c>
      <c r="H31" s="226">
        <v>2</v>
      </c>
      <c r="I31" s="226">
        <v>1</v>
      </c>
      <c r="J31" s="226">
        <v>5</v>
      </c>
      <c r="K31" s="226">
        <v>2</v>
      </c>
      <c r="L31" s="226">
        <v>5</v>
      </c>
      <c r="M31" s="226">
        <f>C31*10000+D31*1000+E31*100+COUNTIF($C$4:C31,C31)</f>
        <v>11319</v>
      </c>
      <c r="N31" s="226">
        <f>IFERROR(VLOOKUP(B31,[1]STUDENT_UNIQUE_ITEM!$C:$D,2,0),0)</f>
        <v>0</v>
      </c>
      <c r="O31" s="226" t="str">
        <f t="shared" si="0"/>
        <v>STUDENT_NAME_11319</v>
      </c>
      <c r="P31" s="226" t="str">
        <f t="shared" si="1"/>
        <v>STUDENT_IMAGE_11319</v>
      </c>
    </row>
    <row r="32" spans="1:16" ht="13.9" customHeight="1">
      <c r="A32" s="226">
        <f>C32*ID규칙_학생_역할_단위+D32*ID규칙_학생_상세_역할_단위+E32*ID규칙_학생_등급_단위+COUNTIF($C$4:C32,C32)</f>
        <v>24110</v>
      </c>
      <c r="B32" s="227" t="s">
        <v>814</v>
      </c>
      <c r="C32" s="226">
        <v>2</v>
      </c>
      <c r="D32" s="226">
        <v>4</v>
      </c>
      <c r="E32" s="226">
        <v>1</v>
      </c>
      <c r="F32" s="226">
        <v>81</v>
      </c>
      <c r="G32" s="226">
        <v>3</v>
      </c>
      <c r="H32" s="226">
        <v>1</v>
      </c>
      <c r="I32" s="226">
        <v>1</v>
      </c>
      <c r="J32" s="226">
        <v>3</v>
      </c>
      <c r="K32" s="226">
        <v>5</v>
      </c>
      <c r="L32" s="226">
        <v>4</v>
      </c>
      <c r="M32" s="226">
        <f>C32*10000+D32*1000+E32*100+COUNTIF($C$4:C32,C32)</f>
        <v>24110</v>
      </c>
      <c r="N32" s="226">
        <f>IFERROR(VLOOKUP(B32,[1]STUDENT_UNIQUE_ITEM!$C:$D,2,0),0)</f>
        <v>0</v>
      </c>
      <c r="O32" s="226" t="str">
        <f t="shared" si="0"/>
        <v>STUDENT_NAME_24110</v>
      </c>
      <c r="P32" s="226" t="str">
        <f t="shared" si="1"/>
        <v>STUDENT_IMAGE_24110</v>
      </c>
    </row>
    <row r="33" spans="1:16" ht="13.9" customHeight="1">
      <c r="A33" s="226">
        <f>C33*ID규칙_학생_역할_단위+D33*ID규칙_학생_상세_역할_단위+E33*ID규칙_학생_등급_단위+COUNTIF($C$4:C33,C33)</f>
        <v>11320</v>
      </c>
      <c r="B33" s="227" t="s">
        <v>815</v>
      </c>
      <c r="C33" s="226">
        <v>1</v>
      </c>
      <c r="D33" s="226">
        <v>1</v>
      </c>
      <c r="E33" s="226">
        <v>3</v>
      </c>
      <c r="F33" s="226">
        <v>81</v>
      </c>
      <c r="G33" s="226">
        <v>1</v>
      </c>
      <c r="H33" s="226">
        <v>2</v>
      </c>
      <c r="I33" s="226">
        <v>1</v>
      </c>
      <c r="J33" s="226">
        <v>6</v>
      </c>
      <c r="K33" s="226">
        <v>2</v>
      </c>
      <c r="L33" s="226">
        <v>4</v>
      </c>
      <c r="M33" s="226">
        <f>C33*10000+D33*1000+E33*100+COUNTIF($C$4:C33,C33)</f>
        <v>11320</v>
      </c>
      <c r="N33" s="226">
        <f>IFERROR(VLOOKUP(B33,[1]STUDENT_UNIQUE_ITEM!$C:$D,2,0),0)</f>
        <v>11320</v>
      </c>
      <c r="O33" s="226" t="str">
        <f t="shared" si="0"/>
        <v>STUDENT_NAME_11320</v>
      </c>
      <c r="P33" s="226" t="str">
        <f t="shared" si="1"/>
        <v>STUDENT_IMAGE_11320</v>
      </c>
    </row>
    <row r="34" spans="1:16" ht="13.9" customHeight="1">
      <c r="A34" s="226">
        <f>C34*ID규칙_학생_역할_단위+D34*ID규칙_학생_상세_역할_단위+E34*ID규칙_학생_등급_단위+COUNTIF($C$4:C34,C34)</f>
        <v>11121</v>
      </c>
      <c r="B34" s="227" t="s">
        <v>816</v>
      </c>
      <c r="C34" s="226">
        <v>1</v>
      </c>
      <c r="D34" s="226">
        <v>1</v>
      </c>
      <c r="E34" s="226">
        <v>1</v>
      </c>
      <c r="F34" s="226">
        <v>81</v>
      </c>
      <c r="G34" s="226">
        <v>2</v>
      </c>
      <c r="H34" s="226">
        <v>3</v>
      </c>
      <c r="I34" s="226">
        <v>1</v>
      </c>
      <c r="J34" s="226">
        <v>4</v>
      </c>
      <c r="K34" s="226">
        <v>4</v>
      </c>
      <c r="L34" s="226">
        <v>4</v>
      </c>
      <c r="M34" s="226">
        <f>C34*10000+D34*1000+E34*100+COUNTIF($C$4:C34,C34)</f>
        <v>11121</v>
      </c>
      <c r="N34" s="226">
        <f>IFERROR(VLOOKUP(B34,[1]STUDENT_UNIQUE_ITEM!$C:$D,2,0),0)</f>
        <v>11121</v>
      </c>
      <c r="O34" s="226" t="str">
        <f t="shared" si="0"/>
        <v>STUDENT_NAME_11121</v>
      </c>
      <c r="P34" s="226" t="str">
        <f t="shared" si="1"/>
        <v>STUDENT_IMAGE_11121</v>
      </c>
    </row>
    <row r="35" spans="1:16" ht="13.9" customHeight="1">
      <c r="A35" s="226">
        <f>C35*ID규칙_학생_역할_단위+D35*ID규칙_학생_상세_역할_단위+E35*ID규칙_학생_등급_단위+COUNTIF($C$4:C35,C35)</f>
        <v>11322</v>
      </c>
      <c r="B35" s="227" t="s">
        <v>817</v>
      </c>
      <c r="C35" s="226">
        <v>1</v>
      </c>
      <c r="D35" s="226">
        <v>1</v>
      </c>
      <c r="E35" s="226">
        <v>3</v>
      </c>
      <c r="F35" s="226">
        <v>81</v>
      </c>
      <c r="G35" s="226">
        <v>3</v>
      </c>
      <c r="H35" s="226">
        <v>2</v>
      </c>
      <c r="I35" s="226">
        <v>2</v>
      </c>
      <c r="J35" s="226">
        <v>6</v>
      </c>
      <c r="K35" s="226">
        <v>2</v>
      </c>
      <c r="L35" s="226">
        <v>4</v>
      </c>
      <c r="M35" s="226">
        <f>C35*10000+D35*1000+E35*100+COUNTIF($C$4:C35,C35)</f>
        <v>11322</v>
      </c>
      <c r="N35" s="226">
        <f>IFERROR(VLOOKUP(B35,[1]STUDENT_UNIQUE_ITEM!$C:$D,2,0),0)</f>
        <v>0</v>
      </c>
      <c r="O35" s="226" t="str">
        <f t="shared" si="0"/>
        <v>STUDENT_NAME_11322</v>
      </c>
      <c r="P35" s="226" t="str">
        <f t="shared" si="1"/>
        <v>STUDENT_IMAGE_11322</v>
      </c>
    </row>
    <row r="36" spans="1:16" ht="13.9" customHeight="1">
      <c r="A36" s="226">
        <f>C36*ID규칙_학생_역할_단위+D36*ID규칙_학생_상세_역할_단위+E36*ID규칙_학생_등급_단위+COUNTIF($C$4:C36,C36)</f>
        <v>14223</v>
      </c>
      <c r="B36" s="227" t="s">
        <v>818</v>
      </c>
      <c r="C36" s="226">
        <v>1</v>
      </c>
      <c r="D36" s="226">
        <v>4</v>
      </c>
      <c r="E36" s="226">
        <v>2</v>
      </c>
      <c r="F36" s="226">
        <v>81</v>
      </c>
      <c r="G36" s="226">
        <v>2</v>
      </c>
      <c r="H36" s="226">
        <v>2</v>
      </c>
      <c r="I36" s="226">
        <v>1</v>
      </c>
      <c r="J36" s="226">
        <v>3</v>
      </c>
      <c r="K36" s="226">
        <v>3</v>
      </c>
      <c r="L36" s="226">
        <v>6</v>
      </c>
      <c r="M36" s="226">
        <f>C36*10000+D36*1000+E36*100+COUNTIF($C$4:C36,C36)</f>
        <v>14223</v>
      </c>
      <c r="N36" s="226">
        <f>IFERROR(VLOOKUP(B36,[1]STUDENT_UNIQUE_ITEM!$C:$D,2,0),0)</f>
        <v>0</v>
      </c>
      <c r="O36" s="226" t="str">
        <f t="shared" si="0"/>
        <v>STUDENT_NAME_14223</v>
      </c>
      <c r="P36" s="226" t="str">
        <f t="shared" si="1"/>
        <v>STUDENT_IMAGE_14223</v>
      </c>
    </row>
    <row r="37" spans="1:16" ht="13.9" customHeight="1">
      <c r="A37" s="226">
        <f>C37*ID규칙_학생_역할_단위+D37*ID규칙_학생_상세_역할_단위+E37*ID규칙_학생_등급_단위+COUNTIF($C$4:C37,C37)</f>
        <v>11324</v>
      </c>
      <c r="B37" s="227" t="s">
        <v>819</v>
      </c>
      <c r="C37" s="226">
        <v>1</v>
      </c>
      <c r="D37" s="226">
        <v>1</v>
      </c>
      <c r="E37" s="226">
        <v>3</v>
      </c>
      <c r="F37" s="226">
        <v>81</v>
      </c>
      <c r="G37" s="226">
        <v>2</v>
      </c>
      <c r="H37" s="226">
        <v>1</v>
      </c>
      <c r="I37" s="226">
        <v>4</v>
      </c>
      <c r="J37" s="226">
        <v>2</v>
      </c>
      <c r="K37" s="226">
        <v>6</v>
      </c>
      <c r="L37" s="226">
        <v>4</v>
      </c>
      <c r="M37" s="226">
        <f>C37*10000+D37*1000+E37*100+COUNTIF($C$4:C37,C37)</f>
        <v>11324</v>
      </c>
      <c r="N37" s="226">
        <f>IFERROR(VLOOKUP(B37,[1]STUDENT_UNIQUE_ITEM!$C:$D,2,0),0)</f>
        <v>0</v>
      </c>
      <c r="O37" s="226" t="str">
        <f t="shared" si="0"/>
        <v>STUDENT_NAME_11324</v>
      </c>
      <c r="P37" s="226" t="str">
        <f t="shared" si="1"/>
        <v>STUDENT_IMAGE_11324</v>
      </c>
    </row>
    <row r="38" spans="1:16" ht="13.9" customHeight="1">
      <c r="A38" s="226">
        <f>C38*ID규칙_학생_역할_단위+D38*ID규칙_학생_상세_역할_단위+E38*ID규칙_학생_등급_단위+COUNTIF($C$4:C38,C38)</f>
        <v>11225</v>
      </c>
      <c r="B38" s="227" t="s">
        <v>820</v>
      </c>
      <c r="C38" s="226">
        <v>1</v>
      </c>
      <c r="D38" s="226">
        <v>1</v>
      </c>
      <c r="E38" s="226">
        <v>2</v>
      </c>
      <c r="F38" s="226">
        <v>81</v>
      </c>
      <c r="G38" s="226">
        <v>3</v>
      </c>
      <c r="H38" s="226">
        <v>2</v>
      </c>
      <c r="I38" s="226">
        <v>2</v>
      </c>
      <c r="J38" s="226">
        <v>3</v>
      </c>
      <c r="K38" s="226">
        <v>6</v>
      </c>
      <c r="L38" s="226">
        <v>3</v>
      </c>
      <c r="M38" s="226">
        <f>C38*10000+D38*1000+E38*100+COUNTIF($C$4:C38,C38)</f>
        <v>11225</v>
      </c>
      <c r="N38" s="226">
        <f>IFERROR(VLOOKUP(B38,[1]STUDENT_UNIQUE_ITEM!$C:$D,2,0),0)</f>
        <v>11225</v>
      </c>
      <c r="O38" s="226" t="str">
        <f t="shared" si="0"/>
        <v>STUDENT_NAME_11225</v>
      </c>
      <c r="P38" s="226" t="str">
        <f t="shared" si="1"/>
        <v>STUDENT_IMAGE_11225</v>
      </c>
    </row>
    <row r="39" spans="1:16" ht="13.9" customHeight="1">
      <c r="A39" s="226">
        <f>C39*ID규칙_학생_역할_단위+D39*ID규칙_학생_상세_역할_단위+E39*ID규칙_학생_등급_단위+COUNTIF($C$4:C39,C39)</f>
        <v>21311</v>
      </c>
      <c r="B39" s="227" t="s">
        <v>821</v>
      </c>
      <c r="C39" s="226">
        <v>2</v>
      </c>
      <c r="D39" s="226">
        <v>1</v>
      </c>
      <c r="E39" s="226">
        <v>3</v>
      </c>
      <c r="F39" s="226">
        <v>81</v>
      </c>
      <c r="G39" s="226">
        <v>3</v>
      </c>
      <c r="H39" s="226">
        <v>1</v>
      </c>
      <c r="I39" s="226">
        <v>1</v>
      </c>
      <c r="J39" s="226">
        <v>2</v>
      </c>
      <c r="K39" s="226">
        <v>4</v>
      </c>
      <c r="L39" s="226">
        <v>4</v>
      </c>
      <c r="M39" s="226">
        <f>C39*10000+D39*1000+E39*100+COUNTIF($C$4:C39,C39)</f>
        <v>21311</v>
      </c>
      <c r="N39" s="226">
        <f>IFERROR(VLOOKUP(B39,[1]STUDENT_UNIQUE_ITEM!$C:$D,2,0),0)</f>
        <v>0</v>
      </c>
      <c r="O39" s="226" t="str">
        <f t="shared" si="0"/>
        <v>STUDENT_NAME_21311</v>
      </c>
      <c r="P39" s="226" t="str">
        <f t="shared" si="1"/>
        <v>STUDENT_IMAGE_21311</v>
      </c>
    </row>
    <row r="40" spans="1:16" ht="13.9" customHeight="1">
      <c r="A40" s="226">
        <f>C40*ID규칙_학생_역할_단위+D40*ID규칙_학생_상세_역할_단위+E40*ID규칙_학생_등급_단위+COUNTIF($C$4:C40,C40)</f>
        <v>14126</v>
      </c>
      <c r="B40" s="227" t="s">
        <v>822</v>
      </c>
      <c r="C40" s="226">
        <v>1</v>
      </c>
      <c r="D40" s="226">
        <v>4</v>
      </c>
      <c r="E40" s="226">
        <v>1</v>
      </c>
      <c r="F40" s="226">
        <v>81</v>
      </c>
      <c r="G40" s="226">
        <v>3</v>
      </c>
      <c r="H40" s="226">
        <v>2</v>
      </c>
      <c r="I40" s="226">
        <v>1</v>
      </c>
      <c r="J40" s="226">
        <v>4</v>
      </c>
      <c r="K40" s="226">
        <v>4</v>
      </c>
      <c r="L40" s="226">
        <v>4</v>
      </c>
      <c r="M40" s="226">
        <f>C40*10000+D40*1000+E40*100+COUNTIF($C$4:C40,C40)</f>
        <v>14126</v>
      </c>
      <c r="N40" s="226">
        <f>IFERROR(VLOOKUP(B40,[1]STUDENT_UNIQUE_ITEM!$C:$D,2,0),0)</f>
        <v>0</v>
      </c>
      <c r="O40" s="226" t="str">
        <f t="shared" si="0"/>
        <v>STUDENT_NAME_14126</v>
      </c>
      <c r="P40" s="226" t="str">
        <f t="shared" si="1"/>
        <v>STUDENT_IMAGE_14126</v>
      </c>
    </row>
    <row r="41" spans="1:16" ht="13.9" customHeight="1">
      <c r="A41" s="226">
        <f>C41*ID규칙_학생_역할_단위+D41*ID규칙_학생_상세_역할_단위+E41*ID규칙_학생_등급_단위+COUNTIF($C$4:C41,C41)</f>
        <v>11327</v>
      </c>
      <c r="B41" s="227" t="s">
        <v>823</v>
      </c>
      <c r="C41" s="226">
        <v>1</v>
      </c>
      <c r="D41" s="226">
        <v>1</v>
      </c>
      <c r="E41" s="226">
        <v>3</v>
      </c>
      <c r="F41" s="226">
        <v>81</v>
      </c>
      <c r="G41" s="226">
        <v>1</v>
      </c>
      <c r="H41" s="226">
        <v>2</v>
      </c>
      <c r="I41" s="226">
        <v>3</v>
      </c>
      <c r="J41" s="226">
        <v>4</v>
      </c>
      <c r="K41" s="226">
        <v>6</v>
      </c>
      <c r="L41" s="226">
        <v>2</v>
      </c>
      <c r="M41" s="226">
        <f>C41*10000+D41*1000+E41*100+COUNTIF($C$4:C41,C41)</f>
        <v>11327</v>
      </c>
      <c r="N41" s="226">
        <f>IFERROR(VLOOKUP(B41,[1]STUDENT_UNIQUE_ITEM!$C:$D,2,0),0)</f>
        <v>0</v>
      </c>
      <c r="O41" s="226" t="str">
        <f t="shared" si="0"/>
        <v>STUDENT_NAME_11327</v>
      </c>
      <c r="P41" s="226" t="str">
        <f t="shared" si="1"/>
        <v>STUDENT_IMAGE_11327</v>
      </c>
    </row>
    <row r="42" spans="1:16" ht="13.9" customHeight="1">
      <c r="A42" s="226">
        <f>C42*ID규칙_학생_역할_단위+D42*ID규칙_학생_상세_역할_단위+E42*ID규칙_학생_등급_단위+COUNTIF($C$4:C42,C42)</f>
        <v>24312</v>
      </c>
      <c r="B42" s="227" t="s">
        <v>824</v>
      </c>
      <c r="C42" s="226">
        <v>2</v>
      </c>
      <c r="D42" s="226">
        <v>4</v>
      </c>
      <c r="E42" s="226">
        <v>3</v>
      </c>
      <c r="F42" s="226">
        <v>81</v>
      </c>
      <c r="G42" s="226">
        <v>3</v>
      </c>
      <c r="H42" s="226">
        <v>2</v>
      </c>
      <c r="I42" s="226">
        <v>1</v>
      </c>
      <c r="J42" s="226">
        <v>2</v>
      </c>
      <c r="K42" s="226">
        <v>4</v>
      </c>
      <c r="L42" s="226">
        <v>6</v>
      </c>
      <c r="M42" s="226">
        <f>C42*10000+D42*1000+E42*100+COUNTIF($C$4:C42,C42)</f>
        <v>24312</v>
      </c>
      <c r="N42" s="226">
        <f>IFERROR(VLOOKUP(B42,[1]STUDENT_UNIQUE_ITEM!$C:$D,2,0),0)</f>
        <v>0</v>
      </c>
      <c r="O42" s="226" t="str">
        <f t="shared" si="0"/>
        <v>STUDENT_NAME_24312</v>
      </c>
      <c r="P42" s="226" t="str">
        <f t="shared" si="1"/>
        <v>STUDENT_IMAGE_24312</v>
      </c>
    </row>
    <row r="43" spans="1:16" ht="13.9" customHeight="1">
      <c r="A43" s="226">
        <f>C43*ID규칙_학생_역할_단위+D43*ID규칙_학생_상세_역할_단위+E43*ID규칙_학생_등급_단위+COUNTIF($C$4:C43,C43)</f>
        <v>12328</v>
      </c>
      <c r="B43" s="227" t="s">
        <v>825</v>
      </c>
      <c r="C43" s="226">
        <v>1</v>
      </c>
      <c r="D43" s="226">
        <v>2</v>
      </c>
      <c r="E43" s="226">
        <v>3</v>
      </c>
      <c r="F43" s="226">
        <v>81</v>
      </c>
      <c r="G43" s="226">
        <v>1</v>
      </c>
      <c r="H43" s="226">
        <v>1</v>
      </c>
      <c r="I43" s="226">
        <v>1</v>
      </c>
      <c r="J43" s="226">
        <v>2</v>
      </c>
      <c r="K43" s="226">
        <v>4</v>
      </c>
      <c r="L43" s="226">
        <v>6</v>
      </c>
      <c r="M43" s="226">
        <f>C43*10000+D43*1000+E43*100+COUNTIF($C$4:C43,C43)</f>
        <v>12328</v>
      </c>
      <c r="N43" s="226">
        <f>IFERROR(VLOOKUP(B43,[1]STUDENT_UNIQUE_ITEM!$C:$D,2,0),0)</f>
        <v>12328</v>
      </c>
      <c r="O43" s="226" t="str">
        <f t="shared" si="0"/>
        <v>STUDENT_NAME_12328</v>
      </c>
      <c r="P43" s="226" t="str">
        <f t="shared" si="1"/>
        <v>STUDENT_IMAGE_12328</v>
      </c>
    </row>
    <row r="44" spans="1:16" ht="13.9" customHeight="1">
      <c r="A44" s="226">
        <f>C44*ID규칙_학생_역할_단위+D44*ID규칙_학생_상세_역할_단위+E44*ID규칙_학생_등급_단위+COUNTIF($C$4:C44,C44)</f>
        <v>11329</v>
      </c>
      <c r="B44" s="227" t="s">
        <v>826</v>
      </c>
      <c r="C44" s="226">
        <v>1</v>
      </c>
      <c r="D44" s="226">
        <v>1</v>
      </c>
      <c r="E44" s="226">
        <v>3</v>
      </c>
      <c r="F44" s="226">
        <v>81</v>
      </c>
      <c r="G44" s="226">
        <v>3</v>
      </c>
      <c r="H44" s="226">
        <v>3</v>
      </c>
      <c r="I44" s="226">
        <v>3</v>
      </c>
      <c r="J44" s="226">
        <v>4</v>
      </c>
      <c r="K44" s="226">
        <v>6</v>
      </c>
      <c r="L44" s="226">
        <v>2</v>
      </c>
      <c r="M44" s="226">
        <f>C44*10000+D44*1000+E44*100+COUNTIF($C$4:C44,C44)</f>
        <v>11329</v>
      </c>
      <c r="N44" s="226">
        <f>IFERROR(VLOOKUP(B44,[1]STUDENT_UNIQUE_ITEM!$C:$D,2,0),0)</f>
        <v>0</v>
      </c>
      <c r="O44" s="226" t="str">
        <f t="shared" si="0"/>
        <v>STUDENT_NAME_11329</v>
      </c>
      <c r="P44" s="226" t="str">
        <f t="shared" si="1"/>
        <v>STUDENT_IMAGE_11329</v>
      </c>
    </row>
    <row r="45" spans="1:16" ht="13.9" customHeight="1">
      <c r="A45" s="226">
        <f>C45*ID규칙_학생_역할_단위+D45*ID규칙_학생_상세_역할_단위+E45*ID규칙_학생_등급_단위+COUNTIF($C$4:C45,C45)</f>
        <v>11230</v>
      </c>
      <c r="B45" s="227" t="s">
        <v>827</v>
      </c>
      <c r="C45" s="226">
        <v>1</v>
      </c>
      <c r="D45" s="226">
        <v>1</v>
      </c>
      <c r="E45" s="226">
        <v>2</v>
      </c>
      <c r="F45" s="226">
        <v>81</v>
      </c>
      <c r="G45" s="226">
        <v>2</v>
      </c>
      <c r="H45" s="226">
        <v>2</v>
      </c>
      <c r="I45" s="226">
        <v>1</v>
      </c>
      <c r="J45" s="226">
        <v>3</v>
      </c>
      <c r="K45" s="226">
        <v>3</v>
      </c>
      <c r="L45" s="226">
        <v>6</v>
      </c>
      <c r="M45" s="226">
        <f>C45*10000+D45*1000+E45*100+COUNTIF($C$4:C45,C45)</f>
        <v>11230</v>
      </c>
      <c r="N45" s="226">
        <f>IFERROR(VLOOKUP(B45,[1]STUDENT_UNIQUE_ITEM!$C:$D,2,0),0)</f>
        <v>0</v>
      </c>
      <c r="O45" s="226" t="str">
        <f t="shared" si="0"/>
        <v>STUDENT_NAME_11230</v>
      </c>
      <c r="P45" s="226" t="str">
        <f t="shared" si="1"/>
        <v>STUDENT_IMAGE_11230</v>
      </c>
    </row>
    <row r="46" spans="1:16" ht="13.9" customHeight="1">
      <c r="A46" s="226">
        <f>C46*ID규칙_학생_역할_단위+D46*ID규칙_학생_상세_역할_단위+E46*ID규칙_학생_등급_단위+COUNTIF($C$4:C46,C46)</f>
        <v>11331</v>
      </c>
      <c r="B46" s="227" t="s">
        <v>828</v>
      </c>
      <c r="C46" s="226">
        <v>1</v>
      </c>
      <c r="D46" s="226">
        <v>1</v>
      </c>
      <c r="E46" s="226">
        <v>3</v>
      </c>
      <c r="F46" s="226">
        <v>81</v>
      </c>
      <c r="G46" s="226">
        <v>3</v>
      </c>
      <c r="H46" s="226">
        <v>2</v>
      </c>
      <c r="I46" s="226">
        <v>1</v>
      </c>
      <c r="J46" s="226">
        <v>4</v>
      </c>
      <c r="K46" s="226">
        <v>2</v>
      </c>
      <c r="L46" s="226">
        <v>6</v>
      </c>
      <c r="M46" s="226">
        <f>C46*10000+D46*1000+E46*100+COUNTIF($C$4:C46,C46)</f>
        <v>11331</v>
      </c>
      <c r="N46" s="226">
        <f>IFERROR(VLOOKUP(B46,[1]STUDENT_UNIQUE_ITEM!$C:$D,2,0),0)</f>
        <v>0</v>
      </c>
      <c r="O46" s="226" t="str">
        <f t="shared" si="0"/>
        <v>STUDENT_NAME_11331</v>
      </c>
      <c r="P46" s="226" t="str">
        <f t="shared" si="1"/>
        <v>STUDENT_IMAGE_11331</v>
      </c>
    </row>
    <row r="47" spans="1:16" ht="13.9" customHeight="1">
      <c r="A47" s="226">
        <f>C47*ID규칙_학생_역할_단위+D47*ID규칙_학생_상세_역할_단위+E47*ID규칙_학생_등급_단위+COUNTIF($C$4:C47,C47)</f>
        <v>11332</v>
      </c>
      <c r="B47" s="227" t="s">
        <v>829</v>
      </c>
      <c r="C47" s="226">
        <v>1</v>
      </c>
      <c r="D47" s="226">
        <v>1</v>
      </c>
      <c r="E47" s="226">
        <v>3</v>
      </c>
      <c r="F47" s="226">
        <v>81</v>
      </c>
      <c r="G47" s="226">
        <v>2</v>
      </c>
      <c r="H47" s="226">
        <v>2</v>
      </c>
      <c r="I47" s="226">
        <v>3</v>
      </c>
      <c r="J47" s="226">
        <v>2</v>
      </c>
      <c r="K47" s="226">
        <v>4</v>
      </c>
      <c r="L47" s="226">
        <v>6</v>
      </c>
      <c r="M47" s="226">
        <f>C47*10000+D47*1000+E47*100+COUNTIF($C$4:C47,C47)</f>
        <v>11332</v>
      </c>
      <c r="N47" s="226">
        <f>IFERROR(VLOOKUP(B47,[1]STUDENT_UNIQUE_ITEM!$C:$D,2,0),0)</f>
        <v>0</v>
      </c>
      <c r="O47" s="226" t="str">
        <f t="shared" si="0"/>
        <v>STUDENT_NAME_11332</v>
      </c>
      <c r="P47" s="226" t="str">
        <f t="shared" si="1"/>
        <v>STUDENT_IMAGE_11332</v>
      </c>
    </row>
    <row r="48" spans="1:16" ht="13.9" customHeight="1">
      <c r="A48" s="226">
        <f>C48*ID규칙_학생_역할_단위+D48*ID규칙_학생_상세_역할_단위+E48*ID규칙_학생_등급_단위+COUNTIF($C$4:C48,C48)</f>
        <v>14333</v>
      </c>
      <c r="B48" s="227" t="s">
        <v>830</v>
      </c>
      <c r="C48" s="226">
        <v>1</v>
      </c>
      <c r="D48" s="226">
        <v>4</v>
      </c>
      <c r="E48" s="226">
        <v>3</v>
      </c>
      <c r="F48" s="226">
        <v>81</v>
      </c>
      <c r="G48" s="226">
        <v>2</v>
      </c>
      <c r="H48" s="226">
        <v>2</v>
      </c>
      <c r="I48" s="226">
        <v>1</v>
      </c>
      <c r="J48" s="226">
        <v>6</v>
      </c>
      <c r="K48" s="226">
        <v>2</v>
      </c>
      <c r="L48" s="226">
        <v>4</v>
      </c>
      <c r="M48" s="226">
        <f>C48*10000+D48*1000+E48*100+COUNTIF($C$4:C48,C48)</f>
        <v>14333</v>
      </c>
      <c r="N48" s="226">
        <f>IFERROR(VLOOKUP(B48,[1]STUDENT_UNIQUE_ITEM!$C:$D,2,0),0)</f>
        <v>14333</v>
      </c>
      <c r="O48" s="226" t="str">
        <f t="shared" si="0"/>
        <v>STUDENT_NAME_14333</v>
      </c>
      <c r="P48" s="226" t="str">
        <f t="shared" si="1"/>
        <v>STUDENT_IMAGE_14333</v>
      </c>
    </row>
    <row r="49" spans="1:16" ht="13.9" customHeight="1">
      <c r="A49" s="226">
        <f>C49*ID규칙_학생_역할_단위+D49*ID규칙_학생_상세_역할_단위+E49*ID규칙_학생_등급_단위+COUNTIF($C$4:C49,C49)</f>
        <v>23213</v>
      </c>
      <c r="B49" s="227" t="s">
        <v>831</v>
      </c>
      <c r="C49" s="226">
        <v>2</v>
      </c>
      <c r="D49" s="226">
        <v>3</v>
      </c>
      <c r="E49" s="226">
        <v>2</v>
      </c>
      <c r="F49" s="226">
        <v>81</v>
      </c>
      <c r="G49" s="226">
        <v>3</v>
      </c>
      <c r="H49" s="226">
        <v>2</v>
      </c>
      <c r="I49" s="226">
        <v>1</v>
      </c>
      <c r="J49" s="226">
        <v>3</v>
      </c>
      <c r="K49" s="226">
        <v>6</v>
      </c>
      <c r="L49" s="226">
        <v>3</v>
      </c>
      <c r="M49" s="226">
        <f>C49*10000+D49*1000+E49*100+COUNTIF($C$4:C49,C49)</f>
        <v>23213</v>
      </c>
      <c r="N49" s="226">
        <f>IFERROR(VLOOKUP(B49,[1]STUDENT_UNIQUE_ITEM!$C:$D,2,0),0)</f>
        <v>0</v>
      </c>
      <c r="O49" s="226" t="str">
        <f t="shared" si="0"/>
        <v>STUDENT_NAME_23213</v>
      </c>
      <c r="P49" s="226" t="str">
        <f t="shared" si="1"/>
        <v>STUDENT_IMAGE_23213</v>
      </c>
    </row>
    <row r="50" spans="1:16" ht="13.9" customHeight="1">
      <c r="A50" s="226">
        <f>C50*ID규칙_학생_역할_단위+D50*ID규칙_학생_상세_역할_단위+E50*ID규칙_학생_등급_단위+COUNTIF($C$4:C50,C50)</f>
        <v>11334</v>
      </c>
      <c r="B50" s="227" t="s">
        <v>832</v>
      </c>
      <c r="C50" s="226">
        <v>1</v>
      </c>
      <c r="D50" s="226">
        <v>1</v>
      </c>
      <c r="E50" s="226">
        <v>3</v>
      </c>
      <c r="F50" s="226">
        <v>81</v>
      </c>
      <c r="G50" s="226">
        <v>2</v>
      </c>
      <c r="H50" s="226">
        <v>1</v>
      </c>
      <c r="I50" s="226">
        <v>1</v>
      </c>
      <c r="J50" s="226">
        <v>4</v>
      </c>
      <c r="K50" s="226">
        <v>6</v>
      </c>
      <c r="L50" s="226">
        <v>2</v>
      </c>
      <c r="M50" s="226">
        <f>C50*10000+D50*1000+E50*100+COUNTIF($C$4:C50,C50)</f>
        <v>11334</v>
      </c>
      <c r="N50" s="226">
        <f>IFERROR(VLOOKUP(B50,[1]STUDENT_UNIQUE_ITEM!$C:$D,2,0),0)</f>
        <v>0</v>
      </c>
      <c r="O50" s="226" t="str">
        <f t="shared" si="0"/>
        <v>STUDENT_NAME_11334</v>
      </c>
      <c r="P50" s="226" t="str">
        <f t="shared" si="1"/>
        <v>STUDENT_IMAGE_11334</v>
      </c>
    </row>
    <row r="51" spans="1:16" ht="13.9" customHeight="1">
      <c r="A51" s="226">
        <f>C51*ID규칙_학생_역할_단위+D51*ID규칙_학생_상세_역할_단위+E51*ID규칙_학생_등급_단위+COUNTIF($C$4:C51,C51)</f>
        <v>13335</v>
      </c>
      <c r="B51" s="227" t="s">
        <v>833</v>
      </c>
      <c r="C51" s="226">
        <v>1</v>
      </c>
      <c r="D51" s="226">
        <v>3</v>
      </c>
      <c r="E51" s="226">
        <v>3</v>
      </c>
      <c r="F51" s="226">
        <v>81</v>
      </c>
      <c r="G51" s="226">
        <v>3</v>
      </c>
      <c r="H51" s="226">
        <v>1</v>
      </c>
      <c r="I51" s="226">
        <v>2</v>
      </c>
      <c r="J51" s="226">
        <v>6</v>
      </c>
      <c r="K51" s="226">
        <v>2</v>
      </c>
      <c r="L51" s="226">
        <v>4</v>
      </c>
      <c r="M51" s="226">
        <f>C51*10000+D51*1000+E51*100+COUNTIF($C$4:C51,C51)</f>
        <v>13335</v>
      </c>
      <c r="N51" s="226">
        <f>IFERROR(VLOOKUP(B51,[1]STUDENT_UNIQUE_ITEM!$C:$D,2,0),0)</f>
        <v>0</v>
      </c>
      <c r="O51" s="226" t="str">
        <f t="shared" si="0"/>
        <v>STUDENT_NAME_13335</v>
      </c>
      <c r="P51" s="226" t="str">
        <f t="shared" si="1"/>
        <v>STUDENT_IMAGE_13335</v>
      </c>
    </row>
    <row r="52" spans="1:16" ht="13.9" customHeight="1">
      <c r="A52" s="226">
        <f>C52*ID규칙_학생_역할_단위+D52*ID규칙_학생_상세_역할_단위+E52*ID규칙_학생_등급_단위+COUNTIF($C$4:C52,C52)</f>
        <v>14136</v>
      </c>
      <c r="B52" s="227" t="s">
        <v>834</v>
      </c>
      <c r="C52" s="226">
        <v>1</v>
      </c>
      <c r="D52" s="226">
        <v>4</v>
      </c>
      <c r="E52" s="226">
        <v>1</v>
      </c>
      <c r="F52" s="226">
        <v>81</v>
      </c>
      <c r="G52" s="226">
        <v>2</v>
      </c>
      <c r="H52" s="226">
        <v>1</v>
      </c>
      <c r="I52" s="226">
        <v>2</v>
      </c>
      <c r="J52" s="226">
        <v>4</v>
      </c>
      <c r="K52" s="226">
        <v>4</v>
      </c>
      <c r="L52" s="226">
        <v>4</v>
      </c>
      <c r="M52" s="226">
        <f>C52*10000+D52*1000+E52*100+COUNTIF($C$4:C52,C52)</f>
        <v>14136</v>
      </c>
      <c r="N52" s="226">
        <f>IFERROR(VLOOKUP(B52,[1]STUDENT_UNIQUE_ITEM!$C:$D,2,0),0)</f>
        <v>14136</v>
      </c>
      <c r="O52" s="226" t="str">
        <f t="shared" si="0"/>
        <v>STUDENT_NAME_14136</v>
      </c>
      <c r="P52" s="226" t="str">
        <f t="shared" si="1"/>
        <v>STUDENT_IMAGE_14136</v>
      </c>
    </row>
    <row r="53" spans="1:16" ht="13.9" customHeight="1">
      <c r="A53" s="226">
        <f>C53*ID규칙_학생_역할_단위+D53*ID규칙_학생_상세_역할_단위+E53*ID규칙_학생_등급_단위+COUNTIF($C$4:C53,C53)</f>
        <v>12337</v>
      </c>
      <c r="B53" s="227" t="s">
        <v>835</v>
      </c>
      <c r="C53" s="226">
        <v>1</v>
      </c>
      <c r="D53" s="226">
        <v>2</v>
      </c>
      <c r="E53" s="226">
        <v>3</v>
      </c>
      <c r="F53" s="226">
        <v>81</v>
      </c>
      <c r="G53" s="226">
        <v>1</v>
      </c>
      <c r="H53" s="226">
        <v>2</v>
      </c>
      <c r="I53" s="226">
        <v>2</v>
      </c>
      <c r="J53" s="226">
        <v>6</v>
      </c>
      <c r="K53" s="226">
        <v>4</v>
      </c>
      <c r="L53" s="226">
        <v>2</v>
      </c>
      <c r="M53" s="226">
        <f>C53*10000+D53*1000+E53*100+COUNTIF($C$4:C53,C53)</f>
        <v>12337</v>
      </c>
      <c r="N53" s="226">
        <f>IFERROR(VLOOKUP(B53,[1]STUDENT_UNIQUE_ITEM!$C:$D,2,0),0)</f>
        <v>0</v>
      </c>
      <c r="O53" s="226" t="str">
        <f t="shared" si="0"/>
        <v>STUDENT_NAME_12337</v>
      </c>
      <c r="P53" s="226" t="str">
        <f t="shared" si="1"/>
        <v>STUDENT_IMAGE_12337</v>
      </c>
    </row>
    <row r="54" spans="1:16" ht="13.9" customHeight="1">
      <c r="A54" s="226">
        <f>C54*ID규칙_학생_역할_단위+D54*ID규칙_학생_상세_역할_단위+E54*ID규칙_학생_등급_단위+COUNTIF($C$4:C54,C54)</f>
        <v>14338</v>
      </c>
      <c r="B54" s="227" t="s">
        <v>836</v>
      </c>
      <c r="C54" s="226">
        <v>1</v>
      </c>
      <c r="D54" s="226">
        <v>4</v>
      </c>
      <c r="E54" s="226">
        <v>3</v>
      </c>
      <c r="F54" s="226">
        <v>81</v>
      </c>
      <c r="G54" s="226">
        <v>3</v>
      </c>
      <c r="H54" s="226">
        <v>1</v>
      </c>
      <c r="I54" s="226">
        <v>1</v>
      </c>
      <c r="J54" s="226">
        <v>4</v>
      </c>
      <c r="K54" s="226">
        <v>2</v>
      </c>
      <c r="L54" s="226">
        <v>6</v>
      </c>
      <c r="M54" s="226">
        <f>C54*10000+D54*1000+E54*100+COUNTIF($C$4:C54,C54)</f>
        <v>14338</v>
      </c>
      <c r="N54" s="226">
        <f>IFERROR(VLOOKUP(B54,[1]STUDENT_UNIQUE_ITEM!$C:$D,2,0),0)</f>
        <v>0</v>
      </c>
      <c r="O54" s="226" t="str">
        <f t="shared" si="0"/>
        <v>STUDENT_NAME_14338</v>
      </c>
      <c r="P54" s="226" t="str">
        <f t="shared" si="1"/>
        <v>STUDENT_IMAGE_14338</v>
      </c>
    </row>
    <row r="55" spans="1:16" ht="13.9" customHeight="1">
      <c r="A55" s="226">
        <f>C55*ID규칙_학생_역할_단위+D55*ID규칙_학생_상세_역할_단위+E55*ID규칙_학생_등급_단위+COUNTIF($C$4:C55,C55)</f>
        <v>24114</v>
      </c>
      <c r="B55" s="227" t="s">
        <v>837</v>
      </c>
      <c r="C55" s="226">
        <v>2</v>
      </c>
      <c r="D55" s="226">
        <v>4</v>
      </c>
      <c r="E55" s="226">
        <v>1</v>
      </c>
      <c r="F55" s="226">
        <v>81</v>
      </c>
      <c r="G55" s="226">
        <v>3</v>
      </c>
      <c r="H55" s="226">
        <v>1</v>
      </c>
      <c r="I55" s="226">
        <v>1</v>
      </c>
      <c r="J55" s="226">
        <v>5</v>
      </c>
      <c r="K55" s="226">
        <v>3</v>
      </c>
      <c r="L55" s="226">
        <v>4</v>
      </c>
      <c r="M55" s="226">
        <f>C55*10000+D55*1000+E55*100+COUNTIF($C$4:C55,C55)</f>
        <v>24114</v>
      </c>
      <c r="N55" s="226">
        <f>IFERROR(VLOOKUP(B55,[1]STUDENT_UNIQUE_ITEM!$C:$D,2,0),0)</f>
        <v>0</v>
      </c>
      <c r="O55" s="226" t="str">
        <f t="shared" si="0"/>
        <v>STUDENT_NAME_24114</v>
      </c>
      <c r="P55" s="226" t="str">
        <f t="shared" si="1"/>
        <v>STUDENT_IMAGE_24114</v>
      </c>
    </row>
    <row r="56" spans="1:16" ht="13.9" customHeight="1">
      <c r="A56" s="226">
        <f>C56*ID규칙_학생_역할_단위+D56*ID규칙_학생_상세_역할_단위+E56*ID규칙_학생_등급_단위+COUNTIF($C$4:C56,C56)</f>
        <v>21115</v>
      </c>
      <c r="B56" s="227" t="s">
        <v>838</v>
      </c>
      <c r="C56" s="226">
        <v>2</v>
      </c>
      <c r="D56" s="226">
        <v>1</v>
      </c>
      <c r="E56" s="226">
        <v>1</v>
      </c>
      <c r="F56" s="226">
        <v>81</v>
      </c>
      <c r="G56" s="226">
        <v>3</v>
      </c>
      <c r="H56" s="226">
        <v>2</v>
      </c>
      <c r="I56" s="226">
        <v>2</v>
      </c>
      <c r="J56" s="226">
        <v>4</v>
      </c>
      <c r="K56" s="226">
        <v>4</v>
      </c>
      <c r="L56" s="226">
        <v>4</v>
      </c>
      <c r="M56" s="226">
        <f>C56*10000+D56*1000+E56*100+COUNTIF($C$4:C56,C56)</f>
        <v>21115</v>
      </c>
      <c r="N56" s="226">
        <f>IFERROR(VLOOKUP(B56,[1]STUDENT_UNIQUE_ITEM!$C:$D,2,0),0)</f>
        <v>0</v>
      </c>
      <c r="O56" s="226" t="str">
        <f t="shared" si="0"/>
        <v>STUDENT_NAME_21115</v>
      </c>
      <c r="P56" s="226" t="str">
        <f t="shared" si="1"/>
        <v>STUDENT_IMAGE_21115</v>
      </c>
    </row>
    <row r="57" spans="1:16" ht="13.9" customHeight="1">
      <c r="A57" s="226">
        <f>C57*ID규칙_학생_역할_단위+D57*ID규칙_학생_상세_역할_단위+E57*ID규칙_학생_등급_단위+COUNTIF($C$4:C57,C57)</f>
        <v>24216</v>
      </c>
      <c r="B57" s="227" t="s">
        <v>839</v>
      </c>
      <c r="C57" s="226">
        <v>2</v>
      </c>
      <c r="D57" s="226">
        <v>4</v>
      </c>
      <c r="E57" s="226">
        <v>2</v>
      </c>
      <c r="F57" s="226">
        <v>81</v>
      </c>
      <c r="G57" s="226">
        <v>3</v>
      </c>
      <c r="H57" s="226">
        <v>1</v>
      </c>
      <c r="I57" s="226">
        <v>1</v>
      </c>
      <c r="J57" s="226">
        <v>3</v>
      </c>
      <c r="K57" s="226">
        <v>6</v>
      </c>
      <c r="L57" s="226">
        <v>3</v>
      </c>
      <c r="M57" s="226">
        <f>C57*10000+D57*1000+E57*100+COUNTIF($C$4:C57,C57)</f>
        <v>24216</v>
      </c>
      <c r="N57" s="226">
        <f>IFERROR(VLOOKUP(B57,[1]STUDENT_UNIQUE_ITEM!$C:$D,2,0),0)</f>
        <v>0</v>
      </c>
      <c r="O57" s="226" t="str">
        <f t="shared" si="0"/>
        <v>STUDENT_NAME_24216</v>
      </c>
      <c r="P57" s="226" t="str">
        <f t="shared" si="1"/>
        <v>STUDENT_IMAGE_24216</v>
      </c>
    </row>
    <row r="58" spans="1:16" ht="13.9" customHeight="1">
      <c r="A58" s="226">
        <f>C58*ID규칙_학생_역할_단위+D58*ID규칙_학생_상세_역할_단위+E58*ID규칙_학생_등급_단위+COUNTIF($C$4:C58,C58)</f>
        <v>11339</v>
      </c>
      <c r="B58" s="227" t="s">
        <v>840</v>
      </c>
      <c r="C58" s="226">
        <v>1</v>
      </c>
      <c r="D58" s="226">
        <v>1</v>
      </c>
      <c r="E58" s="226">
        <v>3</v>
      </c>
      <c r="F58" s="226">
        <v>81</v>
      </c>
      <c r="G58" s="226">
        <v>3</v>
      </c>
      <c r="H58" s="226">
        <v>2</v>
      </c>
      <c r="I58" s="226">
        <v>2</v>
      </c>
      <c r="J58" s="226">
        <v>2</v>
      </c>
      <c r="K58" s="226">
        <v>6</v>
      </c>
      <c r="L58" s="226">
        <v>4</v>
      </c>
      <c r="M58" s="226">
        <f>C58*10000+D58*1000+E58*100+COUNTIF($C$4:C58,C58)</f>
        <v>11339</v>
      </c>
      <c r="N58" s="226">
        <f>IFERROR(VLOOKUP(B58,[1]STUDENT_UNIQUE_ITEM!$C:$D,2,0),0)</f>
        <v>0</v>
      </c>
      <c r="O58" s="226" t="str">
        <f t="shared" si="0"/>
        <v>STUDENT_NAME_11339</v>
      </c>
      <c r="P58" s="226" t="str">
        <f t="shared" si="1"/>
        <v>STUDENT_IMAGE_11339</v>
      </c>
    </row>
    <row r="59" spans="1:16" ht="13.9" customHeight="1">
      <c r="A59" s="226">
        <f>C59*ID규칙_학생_역할_단위+D59*ID규칙_학생_상세_역할_단위+E59*ID규칙_학생_등급_단위+COUNTIF($C$4:C59,C59)</f>
        <v>12340</v>
      </c>
      <c r="B59" s="227" t="s">
        <v>841</v>
      </c>
      <c r="C59" s="226">
        <v>1</v>
      </c>
      <c r="D59" s="226">
        <v>2</v>
      </c>
      <c r="E59" s="226">
        <v>3</v>
      </c>
      <c r="F59" s="226">
        <v>81</v>
      </c>
      <c r="G59" s="226">
        <v>1</v>
      </c>
      <c r="H59" s="226">
        <v>3</v>
      </c>
      <c r="I59" s="226">
        <v>2</v>
      </c>
      <c r="J59" s="226">
        <v>6</v>
      </c>
      <c r="K59" s="226">
        <v>4</v>
      </c>
      <c r="L59" s="226">
        <v>2</v>
      </c>
      <c r="M59" s="226">
        <f>C59*10000+D59*1000+E59*100+COUNTIF($C$4:C59,C59)</f>
        <v>12340</v>
      </c>
      <c r="N59" s="226">
        <f>IFERROR(VLOOKUP(B59,[1]STUDENT_UNIQUE_ITEM!$C:$D,2,0),0)</f>
        <v>0</v>
      </c>
      <c r="O59" s="226" t="str">
        <f t="shared" si="0"/>
        <v>STUDENT_NAME_12340</v>
      </c>
      <c r="P59" s="226" t="str">
        <f t="shared" si="1"/>
        <v>STUDENT_IMAGE_12340</v>
      </c>
    </row>
    <row r="60" spans="1:16" ht="13.9" customHeight="1">
      <c r="A60" s="226">
        <f>C60*ID규칙_학생_역할_단위+D60*ID규칙_학생_상세_역할_단위+E60*ID규칙_학생_등급_단위+COUNTIF($C$4:C60,C60)</f>
        <v>12341</v>
      </c>
      <c r="B60" s="227" t="s">
        <v>842</v>
      </c>
      <c r="C60" s="226">
        <v>1</v>
      </c>
      <c r="D60" s="226">
        <v>2</v>
      </c>
      <c r="E60" s="226">
        <v>3</v>
      </c>
      <c r="F60" s="226">
        <v>81</v>
      </c>
      <c r="G60" s="226">
        <v>1</v>
      </c>
      <c r="H60" s="226">
        <v>1</v>
      </c>
      <c r="I60" s="226">
        <v>1</v>
      </c>
      <c r="J60" s="226">
        <v>4</v>
      </c>
      <c r="K60" s="226">
        <v>2</v>
      </c>
      <c r="L60" s="226">
        <v>6</v>
      </c>
      <c r="M60" s="226">
        <f>C60*10000+D60*1000+E60*100+COUNTIF($C$4:C60,C60)</f>
        <v>12341</v>
      </c>
      <c r="N60" s="226">
        <f>IFERROR(VLOOKUP(B60,[1]STUDENT_UNIQUE_ITEM!$C:$D,2,0),0)</f>
        <v>0</v>
      </c>
      <c r="O60" s="226" t="str">
        <f t="shared" si="0"/>
        <v>STUDENT_NAME_12341</v>
      </c>
      <c r="P60" s="226" t="str">
        <f t="shared" si="1"/>
        <v>STUDENT_IMAGE_12341</v>
      </c>
    </row>
    <row r="61" spans="1:16" ht="13.9" customHeight="1">
      <c r="A61" s="226">
        <f>C61*ID규칙_학생_역할_단위+D61*ID규칙_학생_상세_역할_단위+E61*ID규칙_학생_등급_단위+COUNTIF($C$4:C61,C61)</f>
        <v>23117</v>
      </c>
      <c r="B61" s="227" t="s">
        <v>843</v>
      </c>
      <c r="C61" s="226">
        <v>2</v>
      </c>
      <c r="D61" s="226">
        <v>3</v>
      </c>
      <c r="E61" s="226">
        <v>1</v>
      </c>
      <c r="F61" s="226">
        <v>81</v>
      </c>
      <c r="G61" s="226">
        <v>3</v>
      </c>
      <c r="H61" s="226">
        <v>3</v>
      </c>
      <c r="I61" s="226">
        <v>1</v>
      </c>
      <c r="J61" s="226">
        <v>3</v>
      </c>
      <c r="K61" s="226">
        <v>5</v>
      </c>
      <c r="L61" s="226">
        <v>4</v>
      </c>
      <c r="M61" s="226">
        <f>C61*10000+D61*1000+E61*100+COUNTIF($C$4:C61,C61)</f>
        <v>23117</v>
      </c>
      <c r="N61" s="226">
        <f>IFERROR(VLOOKUP(B61,[1]STUDENT_UNIQUE_ITEM!$C:$D,2,0),0)</f>
        <v>0</v>
      </c>
      <c r="O61" s="226" t="str">
        <f t="shared" si="0"/>
        <v>STUDENT_NAME_23117</v>
      </c>
      <c r="P61" s="226" t="str">
        <f t="shared" si="1"/>
        <v>STUDENT_IMAGE_23117</v>
      </c>
    </row>
    <row r="62" spans="1:16" ht="13.9" customHeight="1">
      <c r="A62" s="226">
        <f>C62*ID규칙_학생_역할_단위+D62*ID규칙_학생_상세_역할_단위+E62*ID규칙_학생_등급_단위+COUNTIF($C$4:C62,C62)</f>
        <v>23218</v>
      </c>
      <c r="B62" s="227" t="s">
        <v>844</v>
      </c>
      <c r="C62" s="226">
        <v>2</v>
      </c>
      <c r="D62" s="226">
        <v>3</v>
      </c>
      <c r="E62" s="226">
        <v>2</v>
      </c>
      <c r="F62" s="226">
        <v>81</v>
      </c>
      <c r="G62" s="226">
        <v>3</v>
      </c>
      <c r="H62" s="226">
        <v>1</v>
      </c>
      <c r="I62" s="226">
        <v>2</v>
      </c>
      <c r="J62" s="226">
        <v>3</v>
      </c>
      <c r="K62" s="226">
        <v>6</v>
      </c>
      <c r="L62" s="226">
        <v>3</v>
      </c>
      <c r="M62" s="226">
        <f>C62*10000+D62*1000+E62*100+COUNTIF($C$4:C62,C62)</f>
        <v>23218</v>
      </c>
      <c r="N62" s="226">
        <f>IFERROR(VLOOKUP(B62,[1]STUDENT_UNIQUE_ITEM!$C:$D,2,0),0)</f>
        <v>0</v>
      </c>
      <c r="O62" s="226" t="str">
        <f t="shared" si="0"/>
        <v>STUDENT_NAME_23218</v>
      </c>
      <c r="P62" s="226" t="str">
        <f t="shared" si="1"/>
        <v>STUDENT_IMAGE_23218</v>
      </c>
    </row>
    <row r="63" spans="1:16" ht="13.9" customHeight="1">
      <c r="A63" s="226">
        <f>C63*ID규칙_학생_역할_단위+D63*ID규칙_학생_상세_역할_단위+E63*ID규칙_학생_등급_단위+COUNTIF($C$4:C63,C63)</f>
        <v>11342</v>
      </c>
      <c r="B63" s="227" t="s">
        <v>845</v>
      </c>
      <c r="C63" s="226">
        <v>1</v>
      </c>
      <c r="D63" s="226">
        <v>1</v>
      </c>
      <c r="E63" s="226">
        <v>3</v>
      </c>
      <c r="F63" s="226">
        <v>81</v>
      </c>
      <c r="G63" s="226">
        <v>1</v>
      </c>
      <c r="H63" s="226">
        <v>2</v>
      </c>
      <c r="I63" s="226">
        <v>2</v>
      </c>
      <c r="J63" s="226">
        <v>6</v>
      </c>
      <c r="K63" s="226">
        <v>4</v>
      </c>
      <c r="L63" s="226">
        <v>2</v>
      </c>
      <c r="M63" s="226">
        <f>C63*10000+D63*1000+E63*100+COUNTIF($C$4:C63,C63)</f>
        <v>11342</v>
      </c>
      <c r="N63" s="226">
        <f>IFERROR(VLOOKUP(B63,[1]STUDENT_UNIQUE_ITEM!$C:$D,2,0),0)</f>
        <v>11342</v>
      </c>
      <c r="O63" s="226" t="str">
        <f t="shared" si="0"/>
        <v>STUDENT_NAME_11342</v>
      </c>
      <c r="P63" s="226" t="str">
        <f t="shared" si="1"/>
        <v>STUDENT_IMAGE_11342</v>
      </c>
    </row>
    <row r="64" spans="1:16" ht="13.9" customHeight="1">
      <c r="A64" s="226">
        <f>C64*ID규칙_학생_역할_단위+D64*ID규칙_학생_상세_역할_단위+E64*ID규칙_학생_등급_단위+COUNTIF($C$4:C64,C64)</f>
        <v>11243</v>
      </c>
      <c r="B64" s="227" t="s">
        <v>846</v>
      </c>
      <c r="C64" s="226">
        <v>1</v>
      </c>
      <c r="D64" s="226">
        <v>1</v>
      </c>
      <c r="E64" s="226">
        <v>2</v>
      </c>
      <c r="F64" s="226">
        <v>81</v>
      </c>
      <c r="G64" s="226">
        <v>3</v>
      </c>
      <c r="H64" s="226">
        <v>2</v>
      </c>
      <c r="I64" s="226">
        <v>2</v>
      </c>
      <c r="J64" s="226">
        <v>4</v>
      </c>
      <c r="K64" s="226">
        <v>3</v>
      </c>
      <c r="L64" s="226">
        <v>4</v>
      </c>
      <c r="M64" s="226">
        <f>C64*10000+D64*1000+E64*100+COUNTIF($C$4:C64,C64)</f>
        <v>11243</v>
      </c>
      <c r="N64" s="226">
        <f>IFERROR(VLOOKUP(B64,[1]STUDENT_UNIQUE_ITEM!$C:$D,2,0),0)</f>
        <v>0</v>
      </c>
      <c r="O64" s="226" t="str">
        <f t="shared" si="0"/>
        <v>STUDENT_NAME_11243</v>
      </c>
      <c r="P64" s="226" t="str">
        <f t="shared" si="1"/>
        <v>STUDENT_IMAGE_11243</v>
      </c>
    </row>
    <row r="65" spans="1:16" ht="13.9" customHeight="1">
      <c r="A65" s="226">
        <f>C65*ID규칙_학생_역할_단위+D65*ID규칙_학생_상세_역할_단위+E65*ID규칙_학생_등급_단위+COUNTIF($C$4:C65,C65)</f>
        <v>21319</v>
      </c>
      <c r="B65" s="227" t="s">
        <v>847</v>
      </c>
      <c r="C65" s="226">
        <v>2</v>
      </c>
      <c r="D65" s="226">
        <v>1</v>
      </c>
      <c r="E65" s="226">
        <v>3</v>
      </c>
      <c r="F65" s="226">
        <v>81</v>
      </c>
      <c r="G65" s="226">
        <v>3</v>
      </c>
      <c r="H65" s="226">
        <v>1</v>
      </c>
      <c r="I65" s="226">
        <v>2</v>
      </c>
      <c r="J65" s="226">
        <v>4</v>
      </c>
      <c r="K65" s="226">
        <v>2</v>
      </c>
      <c r="L65" s="226">
        <v>6</v>
      </c>
      <c r="M65" s="226">
        <f>C65*10000+D65*1000+E65*100+COUNTIF($C$4:C65,C65)</f>
        <v>21319</v>
      </c>
      <c r="N65" s="226">
        <f>IFERROR(VLOOKUP(B65,[1]STUDENT_UNIQUE_ITEM!$C:$D,2,0),0)</f>
        <v>0</v>
      </c>
      <c r="O65" s="226" t="str">
        <f t="shared" si="0"/>
        <v>STUDENT_NAME_21319</v>
      </c>
      <c r="P65" s="226" t="str">
        <f t="shared" si="1"/>
        <v>STUDENT_IMAGE_21319</v>
      </c>
    </row>
    <row r="66" spans="1:16" ht="13.9" customHeight="1">
      <c r="A66" s="226">
        <f>C66*ID규칙_학생_역할_단위+D66*ID규칙_학생_상세_역할_단위+E66*ID규칙_학생_등급_단위+COUNTIF($C$4:C66,C66)</f>
        <v>24220</v>
      </c>
      <c r="B66" s="227" t="s">
        <v>848</v>
      </c>
      <c r="C66" s="226">
        <v>2</v>
      </c>
      <c r="D66" s="226">
        <v>4</v>
      </c>
      <c r="E66" s="226">
        <v>2</v>
      </c>
      <c r="F66" s="226">
        <v>81</v>
      </c>
      <c r="G66" s="226">
        <v>3</v>
      </c>
      <c r="H66" s="226">
        <v>3</v>
      </c>
      <c r="I66" s="226">
        <v>3</v>
      </c>
      <c r="J66" s="226">
        <v>3</v>
      </c>
      <c r="K66" s="226">
        <v>3</v>
      </c>
      <c r="L66" s="226">
        <v>4</v>
      </c>
      <c r="M66" s="226">
        <f>C66*10000+D66*1000+E66*100+COUNTIF($C$4:C66,C66)</f>
        <v>24220</v>
      </c>
      <c r="N66" s="226">
        <f>IFERROR(VLOOKUP(B66,[1]STUDENT_UNIQUE_ITEM!$C:$D,2,0),0)</f>
        <v>0</v>
      </c>
      <c r="O66" s="226" t="str">
        <f t="shared" si="0"/>
        <v>STUDENT_NAME_24220</v>
      </c>
      <c r="P66" s="226" t="str">
        <f t="shared" si="1"/>
        <v>STUDENT_IMAGE_24220</v>
      </c>
    </row>
    <row r="67" spans="1:16" ht="13.9" customHeight="1">
      <c r="A67" s="226">
        <f>C67*ID규칙_학생_역할_단위+D67*ID규칙_학생_상세_역할_단위+E67*ID규칙_학생_등급_단위+COUNTIF($C$4:C67,C67)</f>
        <v>11144</v>
      </c>
      <c r="B67" s="227" t="s">
        <v>849</v>
      </c>
      <c r="C67" s="226">
        <v>1</v>
      </c>
      <c r="D67" s="226">
        <v>1</v>
      </c>
      <c r="E67" s="226">
        <v>1</v>
      </c>
      <c r="F67" s="226">
        <v>81</v>
      </c>
      <c r="G67" s="226">
        <v>3</v>
      </c>
      <c r="H67" s="226">
        <v>2</v>
      </c>
      <c r="I67" s="226">
        <v>1</v>
      </c>
      <c r="J67" s="226">
        <v>3</v>
      </c>
      <c r="K67" s="226">
        <v>4</v>
      </c>
      <c r="L67" s="226">
        <v>5</v>
      </c>
      <c r="M67" s="226">
        <f>C67*10000+D67*1000+E67*100+COUNTIF($C$4:C67,C67)</f>
        <v>11144</v>
      </c>
      <c r="N67" s="226">
        <f>IFERROR(VLOOKUP(B67,[1]STUDENT_UNIQUE_ITEM!$C:$D,2,0),0)</f>
        <v>0</v>
      </c>
      <c r="O67" s="226" t="str">
        <f t="shared" si="0"/>
        <v>STUDENT_NAME_11144</v>
      </c>
      <c r="P67" s="226" t="str">
        <f t="shared" si="1"/>
        <v>STUDENT_IMAGE_11144</v>
      </c>
    </row>
    <row r="68" spans="1:16" ht="13.9" customHeight="1">
      <c r="A68" s="226">
        <f>C68*ID규칙_학생_역할_단위+D68*ID규칙_학생_상세_역할_단위+E68*ID규칙_학생_등급_단위+COUNTIF($C$4:C68,C68)</f>
        <v>12245</v>
      </c>
      <c r="B68" s="227" t="s">
        <v>850</v>
      </c>
      <c r="C68" s="226">
        <v>1</v>
      </c>
      <c r="D68" s="226">
        <v>2</v>
      </c>
      <c r="E68" s="226">
        <v>2</v>
      </c>
      <c r="F68" s="226">
        <v>81</v>
      </c>
      <c r="G68" s="226">
        <v>1</v>
      </c>
      <c r="H68" s="226">
        <v>2</v>
      </c>
      <c r="I68" s="226">
        <v>3</v>
      </c>
      <c r="J68" s="226">
        <v>3</v>
      </c>
      <c r="K68" s="226">
        <v>3</v>
      </c>
      <c r="L68" s="226">
        <v>6</v>
      </c>
      <c r="M68" s="226">
        <f>C68*10000+D68*1000+E68*100+COUNTIF($C$4:C68,C68)</f>
        <v>12245</v>
      </c>
      <c r="N68" s="226">
        <f>IFERROR(VLOOKUP(B68,[1]STUDENT_UNIQUE_ITEM!$C:$D,2,0),0)</f>
        <v>0</v>
      </c>
      <c r="O68" s="226" t="str">
        <f t="shared" ref="O68:O99" si="2">"STUDENT_NAME_"&amp;A68</f>
        <v>STUDENT_NAME_12245</v>
      </c>
      <c r="P68" s="226" t="str">
        <f t="shared" ref="P68:P99" si="3">"STUDENT_IMAGE_"&amp;A68</f>
        <v>STUDENT_IMAGE_12245</v>
      </c>
    </row>
    <row r="69" spans="1:16" ht="13.9" customHeight="1">
      <c r="A69" s="226">
        <f>C69*ID규칙_학생_역할_단위+D69*ID규칙_학생_상세_역할_단위+E69*ID규칙_학생_등급_단위+COUNTIF($C$4:C69,C69)</f>
        <v>14346</v>
      </c>
      <c r="B69" s="227" t="s">
        <v>851</v>
      </c>
      <c r="C69" s="226">
        <v>1</v>
      </c>
      <c r="D69" s="226">
        <v>4</v>
      </c>
      <c r="E69" s="226">
        <v>3</v>
      </c>
      <c r="F69" s="226">
        <v>81</v>
      </c>
      <c r="G69" s="226">
        <v>2</v>
      </c>
      <c r="H69" s="226">
        <v>3</v>
      </c>
      <c r="I69" s="226">
        <v>1</v>
      </c>
      <c r="J69" s="226">
        <v>2</v>
      </c>
      <c r="K69" s="226">
        <v>6</v>
      </c>
      <c r="L69" s="226">
        <v>4</v>
      </c>
      <c r="M69" s="226">
        <f>C69*10000+D69*1000+E69*100+COUNTIF($C$4:C69,C69)</f>
        <v>14346</v>
      </c>
      <c r="N69" s="226">
        <f>IFERROR(VLOOKUP(B69,[1]STUDENT_UNIQUE_ITEM!$C:$D,2,0),0)</f>
        <v>0</v>
      </c>
      <c r="O69" s="226" t="str">
        <f t="shared" si="2"/>
        <v>STUDENT_NAME_14346</v>
      </c>
      <c r="P69" s="226" t="str">
        <f t="shared" si="3"/>
        <v>STUDENT_IMAGE_14346</v>
      </c>
    </row>
    <row r="70" spans="1:16" ht="13.9" customHeight="1">
      <c r="A70" s="226">
        <f>C70*ID규칙_학생_역할_단위+D70*ID규칙_학생_상세_역할_단위+E70*ID규칙_학생_등급_단위+COUNTIF($C$4:C70,C70)</f>
        <v>24321</v>
      </c>
      <c r="B70" s="227" t="s">
        <v>852</v>
      </c>
      <c r="C70" s="226">
        <v>2</v>
      </c>
      <c r="D70" s="226">
        <v>4</v>
      </c>
      <c r="E70" s="226">
        <v>3</v>
      </c>
      <c r="F70" s="226">
        <v>81</v>
      </c>
      <c r="G70" s="226">
        <v>3</v>
      </c>
      <c r="H70" s="226">
        <v>1</v>
      </c>
      <c r="I70" s="226">
        <v>3</v>
      </c>
      <c r="J70" s="226">
        <v>2</v>
      </c>
      <c r="K70" s="226">
        <v>6</v>
      </c>
      <c r="L70" s="226">
        <v>4</v>
      </c>
      <c r="M70" s="226">
        <f>C70*10000+D70*1000+E70*100+COUNTIF($C$4:C70,C70)</f>
        <v>24321</v>
      </c>
      <c r="N70" s="226">
        <f>IFERROR(VLOOKUP(B70,[1]STUDENT_UNIQUE_ITEM!$C:$D,2,0),0)</f>
        <v>0</v>
      </c>
      <c r="O70" s="226" t="str">
        <f t="shared" si="2"/>
        <v>STUDENT_NAME_24321</v>
      </c>
      <c r="P70" s="226" t="str">
        <f t="shared" si="3"/>
        <v>STUDENT_IMAGE_24321</v>
      </c>
    </row>
    <row r="71" spans="1:16" ht="13.9" customHeight="1">
      <c r="A71" s="226">
        <f>C71*ID규칙_학생_역할_단위+D71*ID규칙_학생_상세_역할_단위+E71*ID규칙_학생_등급_단위+COUNTIF($C$4:C71,C71)</f>
        <v>11347</v>
      </c>
      <c r="B71" s="227" t="s">
        <v>853</v>
      </c>
      <c r="C71" s="226">
        <v>1</v>
      </c>
      <c r="D71" s="226">
        <v>1</v>
      </c>
      <c r="E71" s="226">
        <v>3</v>
      </c>
      <c r="F71" s="226">
        <v>81</v>
      </c>
      <c r="G71" s="226">
        <v>2</v>
      </c>
      <c r="H71" s="226">
        <v>3</v>
      </c>
      <c r="I71" s="226">
        <v>2</v>
      </c>
      <c r="J71" s="226">
        <v>4</v>
      </c>
      <c r="K71" s="226">
        <v>2</v>
      </c>
      <c r="L71" s="226">
        <v>6</v>
      </c>
      <c r="M71" s="226">
        <f>C71*10000+D71*1000+E71*100+COUNTIF($C$4:C71,C71)</f>
        <v>11347</v>
      </c>
      <c r="N71" s="226">
        <f>IFERROR(VLOOKUP(B71,[1]STUDENT_UNIQUE_ITEM!$C:$D,2,0),0)</f>
        <v>0</v>
      </c>
      <c r="O71" s="226" t="str">
        <f t="shared" si="2"/>
        <v>STUDENT_NAME_11347</v>
      </c>
      <c r="P71" s="226" t="str">
        <f t="shared" si="3"/>
        <v>STUDENT_IMAGE_11347</v>
      </c>
    </row>
    <row r="72" spans="1:16" ht="13.9" customHeight="1">
      <c r="A72" s="226">
        <f>C72*ID규칙_학생_역할_단위+D72*ID규칙_학생_상세_역할_단위+E72*ID규칙_학생_등급_단위+COUNTIF($C$4:C72,C72)</f>
        <v>14248</v>
      </c>
      <c r="B72" s="227" t="s">
        <v>854</v>
      </c>
      <c r="C72" s="226">
        <v>1</v>
      </c>
      <c r="D72" s="226">
        <v>4</v>
      </c>
      <c r="E72" s="226">
        <v>2</v>
      </c>
      <c r="F72" s="226">
        <v>81</v>
      </c>
      <c r="G72" s="226">
        <v>2</v>
      </c>
      <c r="H72" s="226">
        <v>3</v>
      </c>
      <c r="I72" s="226">
        <v>1</v>
      </c>
      <c r="J72" s="226">
        <v>3</v>
      </c>
      <c r="K72" s="226">
        <v>6</v>
      </c>
      <c r="L72" s="226">
        <v>6</v>
      </c>
      <c r="M72" s="226">
        <f>C72*10000+D72*1000+E72*100+COUNTIF($C$4:C72,C72)</f>
        <v>14248</v>
      </c>
      <c r="N72" s="226">
        <f>IFERROR(VLOOKUP(B72,[1]STUDENT_UNIQUE_ITEM!$C:$D,2,0),0)</f>
        <v>0</v>
      </c>
      <c r="O72" s="226" t="str">
        <f t="shared" si="2"/>
        <v>STUDENT_NAME_14248</v>
      </c>
      <c r="P72" s="226" t="str">
        <f t="shared" si="3"/>
        <v>STUDENT_IMAGE_14248</v>
      </c>
    </row>
    <row r="73" spans="1:16" ht="13.9" customHeight="1">
      <c r="A73" s="226">
        <f>C73*ID규칙_학생_역할_단위+D73*ID규칙_학생_상세_역할_단위+E73*ID규칙_학생_등급_단위+COUNTIF($C$4:C73,C73)</f>
        <v>11149</v>
      </c>
      <c r="B73" s="227" t="s">
        <v>855</v>
      </c>
      <c r="C73" s="226">
        <v>1</v>
      </c>
      <c r="D73" s="226">
        <v>1</v>
      </c>
      <c r="E73" s="226">
        <v>1</v>
      </c>
      <c r="F73" s="226">
        <v>81</v>
      </c>
      <c r="G73" s="226">
        <v>1</v>
      </c>
      <c r="H73" s="226">
        <v>3</v>
      </c>
      <c r="I73" s="226">
        <v>1</v>
      </c>
      <c r="J73" s="226">
        <v>4</v>
      </c>
      <c r="K73" s="226">
        <v>4</v>
      </c>
      <c r="L73" s="226">
        <v>4</v>
      </c>
      <c r="M73" s="226">
        <f>C73*10000+D73*1000+E73*100+COUNTIF($C$4:C73,C73)</f>
        <v>11149</v>
      </c>
      <c r="N73" s="226">
        <f>IFERROR(VLOOKUP(B73,[1]STUDENT_UNIQUE_ITEM!$C:$D,2,0),0)</f>
        <v>0</v>
      </c>
      <c r="O73" s="226" t="str">
        <f t="shared" si="2"/>
        <v>STUDENT_NAME_11149</v>
      </c>
      <c r="P73" s="226" t="str">
        <f t="shared" si="3"/>
        <v>STUDENT_IMAGE_11149</v>
      </c>
    </row>
    <row r="74" spans="1:16" ht="13.9" customHeight="1">
      <c r="A74" s="226">
        <f>C74*ID규칙_학생_역할_단위+D74*ID규칙_학생_상세_역할_단위+E74*ID규칙_학생_등급_단위+COUNTIF($C$4:C74,C74)</f>
        <v>11350</v>
      </c>
      <c r="B74" s="227" t="s">
        <v>856</v>
      </c>
      <c r="C74" s="226">
        <v>1</v>
      </c>
      <c r="D74" s="226">
        <v>1</v>
      </c>
      <c r="E74" s="226">
        <v>3</v>
      </c>
      <c r="F74" s="226">
        <v>81</v>
      </c>
      <c r="G74" s="226">
        <v>1</v>
      </c>
      <c r="H74" s="226">
        <v>3</v>
      </c>
      <c r="I74" s="226">
        <v>3</v>
      </c>
      <c r="J74" s="226">
        <v>2</v>
      </c>
      <c r="K74" s="226">
        <v>4</v>
      </c>
      <c r="L74" s="226">
        <v>6</v>
      </c>
      <c r="M74" s="226">
        <f>C74*10000+D74*1000+E74*100+COUNTIF($C$4:C74,C74)</f>
        <v>11350</v>
      </c>
      <c r="N74" s="226">
        <f>IFERROR(VLOOKUP(B74,[1]STUDENT_UNIQUE_ITEM!$C:$D,2,0),0)</f>
        <v>0</v>
      </c>
      <c r="O74" s="226" t="str">
        <f t="shared" si="2"/>
        <v>STUDENT_NAME_11350</v>
      </c>
      <c r="P74" s="226" t="str">
        <f t="shared" si="3"/>
        <v>STUDENT_IMAGE_11350</v>
      </c>
    </row>
    <row r="75" spans="1:16" ht="13.9" customHeight="1">
      <c r="A75" s="226">
        <f>C75*ID규칙_학생_역할_단위+D75*ID규칙_학생_상세_역할_단위+E75*ID규칙_학생_등급_단위+COUNTIF($C$4:C75,C75)</f>
        <v>12351</v>
      </c>
      <c r="B75" s="227" t="s">
        <v>857</v>
      </c>
      <c r="C75" s="226">
        <v>1</v>
      </c>
      <c r="D75" s="226">
        <v>2</v>
      </c>
      <c r="E75" s="226">
        <v>3</v>
      </c>
      <c r="F75" s="226">
        <v>81</v>
      </c>
      <c r="G75" s="226">
        <v>1</v>
      </c>
      <c r="H75" s="226">
        <v>3</v>
      </c>
      <c r="I75" s="226">
        <v>1</v>
      </c>
      <c r="J75" s="226">
        <v>4</v>
      </c>
      <c r="K75" s="226">
        <v>6</v>
      </c>
      <c r="L75" s="226">
        <v>2</v>
      </c>
      <c r="M75" s="226">
        <f>C75*10000+D75*1000+E75*100+COUNTIF($C$4:C75,C75)</f>
        <v>12351</v>
      </c>
      <c r="N75" s="226">
        <f>IFERROR(VLOOKUP(B75,[1]STUDENT_UNIQUE_ITEM!$C:$D,2,0),0)</f>
        <v>0</v>
      </c>
      <c r="O75" s="226" t="str">
        <f t="shared" si="2"/>
        <v>STUDENT_NAME_12351</v>
      </c>
      <c r="P75" s="226" t="str">
        <f t="shared" si="3"/>
        <v>STUDENT_IMAGE_12351</v>
      </c>
    </row>
    <row r="76" spans="1:16" ht="13.9" customHeight="1">
      <c r="A76" s="226">
        <f>C76*ID규칙_학생_역할_단위+D76*ID규칙_학생_상세_역할_단위+E76*ID규칙_학생_등급_단위+COUNTIF($C$4:C76,C76)</f>
        <v>11352</v>
      </c>
      <c r="B76" s="227" t="s">
        <v>858</v>
      </c>
      <c r="C76" s="226">
        <v>1</v>
      </c>
      <c r="D76" s="226">
        <v>1</v>
      </c>
      <c r="E76" s="226">
        <v>3</v>
      </c>
      <c r="F76" s="226">
        <v>81</v>
      </c>
      <c r="G76" s="226">
        <v>3</v>
      </c>
      <c r="H76" s="226">
        <v>2</v>
      </c>
      <c r="I76" s="226">
        <v>2</v>
      </c>
      <c r="J76" s="226">
        <v>2</v>
      </c>
      <c r="K76" s="226">
        <v>6</v>
      </c>
      <c r="L76" s="226">
        <v>4</v>
      </c>
      <c r="M76" s="226">
        <f>C76*10000+D76*1000+E76*100+COUNTIF($C$4:C76,C76)</f>
        <v>11352</v>
      </c>
      <c r="N76" s="226">
        <f>IFERROR(VLOOKUP(B76,[1]STUDENT_UNIQUE_ITEM!$C:$D,2,0),0)</f>
        <v>0</v>
      </c>
      <c r="O76" s="226" t="str">
        <f t="shared" si="2"/>
        <v>STUDENT_NAME_11352</v>
      </c>
      <c r="P76" s="226" t="str">
        <f t="shared" si="3"/>
        <v>STUDENT_IMAGE_11352</v>
      </c>
    </row>
    <row r="77" spans="1:16" ht="13.9" customHeight="1">
      <c r="A77" s="226">
        <f>C77*ID규칙_학생_역할_단위+D77*ID규칙_학생_상세_역할_단위+E77*ID규칙_학생_등급_단위+COUNTIF($C$4:C77,C77)</f>
        <v>21122</v>
      </c>
      <c r="B77" s="227" t="s">
        <v>859</v>
      </c>
      <c r="C77" s="226">
        <v>2</v>
      </c>
      <c r="D77" s="226">
        <v>1</v>
      </c>
      <c r="E77" s="226">
        <v>1</v>
      </c>
      <c r="F77" s="226">
        <v>81</v>
      </c>
      <c r="G77" s="226">
        <v>3</v>
      </c>
      <c r="H77" s="226">
        <v>1</v>
      </c>
      <c r="I77" s="226">
        <v>2</v>
      </c>
      <c r="J77" s="226">
        <v>4</v>
      </c>
      <c r="K77" s="226">
        <v>6</v>
      </c>
      <c r="L77" s="226">
        <v>2</v>
      </c>
      <c r="M77" s="226">
        <f>C77*10000+D77*1000+E77*100+COUNTIF($C$4:C77,C77)</f>
        <v>21122</v>
      </c>
      <c r="N77" s="226">
        <f>IFERROR(VLOOKUP(B77,[1]STUDENT_UNIQUE_ITEM!$C:$D,2,0),0)</f>
        <v>0</v>
      </c>
      <c r="O77" s="226" t="str">
        <f t="shared" si="2"/>
        <v>STUDENT_NAME_21122</v>
      </c>
      <c r="P77" s="226" t="str">
        <f t="shared" si="3"/>
        <v>STUDENT_IMAGE_21122</v>
      </c>
    </row>
    <row r="78" spans="1:16" ht="13.9" customHeight="1">
      <c r="A78" s="226">
        <f>C78*ID규칙_학생_역할_단위+D78*ID규칙_학생_상세_역할_단위+E78*ID규칙_학생_등급_단위+COUNTIF($C$4:C78,C78)</f>
        <v>11353</v>
      </c>
      <c r="B78" s="227" t="s">
        <v>860</v>
      </c>
      <c r="C78" s="226">
        <v>1</v>
      </c>
      <c r="D78" s="226">
        <v>1</v>
      </c>
      <c r="E78" s="226">
        <v>3</v>
      </c>
      <c r="F78" s="226">
        <v>81</v>
      </c>
      <c r="G78" s="226">
        <v>3</v>
      </c>
      <c r="H78" s="226">
        <v>1</v>
      </c>
      <c r="I78" s="226">
        <v>1</v>
      </c>
      <c r="J78" s="226">
        <v>2</v>
      </c>
      <c r="K78" s="226">
        <v>4</v>
      </c>
      <c r="L78" s="226">
        <v>6</v>
      </c>
      <c r="M78" s="226">
        <f>C78*10000+D78*1000+E78*100+COUNTIF($C$4:C78,C78)</f>
        <v>11353</v>
      </c>
      <c r="N78" s="226">
        <f>IFERROR(VLOOKUP(B78,[1]STUDENT_UNIQUE_ITEM!$C:$D,2,0),0)</f>
        <v>11353</v>
      </c>
      <c r="O78" s="226" t="str">
        <f t="shared" si="2"/>
        <v>STUDENT_NAME_11353</v>
      </c>
      <c r="P78" s="226" t="str">
        <f t="shared" si="3"/>
        <v>STUDENT_IMAGE_11353</v>
      </c>
    </row>
    <row r="79" spans="1:16" ht="13.9" customHeight="1">
      <c r="A79" s="226">
        <f>C79*ID규칙_학생_역할_단위+D79*ID규칙_학생_상세_역할_단위+E79*ID규칙_학생_등급_단위+COUNTIF($C$4:C79,C79)</f>
        <v>13354</v>
      </c>
      <c r="B79" s="227" t="s">
        <v>861</v>
      </c>
      <c r="C79" s="226">
        <v>1</v>
      </c>
      <c r="D79" s="226">
        <v>3</v>
      </c>
      <c r="E79" s="226">
        <v>3</v>
      </c>
      <c r="F79" s="226">
        <v>81</v>
      </c>
      <c r="G79" s="226">
        <v>2</v>
      </c>
      <c r="H79" s="226">
        <v>2</v>
      </c>
      <c r="I79" s="226">
        <v>3</v>
      </c>
      <c r="J79" s="226">
        <v>2</v>
      </c>
      <c r="K79" s="226">
        <v>4</v>
      </c>
      <c r="L79" s="226">
        <v>6</v>
      </c>
      <c r="M79" s="226">
        <f>C79*10000+D79*1000+E79*100+COUNTIF($C$4:C79,C79)</f>
        <v>13354</v>
      </c>
      <c r="N79" s="226">
        <f>IFERROR(VLOOKUP(B79,[1]STUDENT_UNIQUE_ITEM!$C:$D,2,0),0)</f>
        <v>0</v>
      </c>
      <c r="O79" s="226" t="str">
        <f t="shared" si="2"/>
        <v>STUDENT_NAME_13354</v>
      </c>
      <c r="P79" s="226" t="str">
        <f t="shared" si="3"/>
        <v>STUDENT_IMAGE_13354</v>
      </c>
    </row>
    <row r="80" spans="1:16" ht="13.9" customHeight="1">
      <c r="A80" s="226">
        <f>C80*ID규칙_학생_역할_단위+D80*ID규칙_학생_상세_역할_단위+E80*ID규칙_학생_등급_단위+COUNTIF($C$4:C80,C80)</f>
        <v>13355</v>
      </c>
      <c r="B80" s="227" t="s">
        <v>862</v>
      </c>
      <c r="C80" s="226">
        <v>1</v>
      </c>
      <c r="D80" s="226">
        <v>3</v>
      </c>
      <c r="E80" s="226">
        <v>3</v>
      </c>
      <c r="F80" s="226">
        <v>81</v>
      </c>
      <c r="G80" s="226">
        <v>1</v>
      </c>
      <c r="H80" s="226">
        <v>1</v>
      </c>
      <c r="I80" s="226">
        <v>2</v>
      </c>
      <c r="J80" s="226">
        <v>5</v>
      </c>
      <c r="K80" s="226">
        <v>5</v>
      </c>
      <c r="L80" s="226">
        <v>2</v>
      </c>
      <c r="M80" s="226">
        <f>C80*10000+D80*1000+E80*100+COUNTIF($C$4:C80,C80)</f>
        <v>13355</v>
      </c>
      <c r="N80" s="226">
        <f>IFERROR(VLOOKUP(B80,[1]STUDENT_UNIQUE_ITEM!$C:$D,2,0),0)</f>
        <v>0</v>
      </c>
      <c r="O80" s="226" t="str">
        <f t="shared" si="2"/>
        <v>STUDENT_NAME_13355</v>
      </c>
      <c r="P80" s="226" t="str">
        <f t="shared" si="3"/>
        <v>STUDENT_IMAGE_13355</v>
      </c>
    </row>
    <row r="81" spans="1:16" ht="13.9" customHeight="1">
      <c r="A81" s="226">
        <f>C81*ID규칙_학생_역할_단위+D81*ID규칙_학생_상세_역할_단위+E81*ID규칙_학생_등급_단위+COUNTIF($C$4:C81,C81)</f>
        <v>14356</v>
      </c>
      <c r="B81" s="227" t="s">
        <v>863</v>
      </c>
      <c r="C81" s="226">
        <v>1</v>
      </c>
      <c r="D81" s="226">
        <v>4</v>
      </c>
      <c r="E81" s="226">
        <v>3</v>
      </c>
      <c r="F81" s="226">
        <v>81</v>
      </c>
      <c r="G81" s="226">
        <v>2</v>
      </c>
      <c r="H81" s="226">
        <v>1</v>
      </c>
      <c r="I81" s="226">
        <v>2</v>
      </c>
      <c r="J81" s="226">
        <v>6</v>
      </c>
      <c r="K81" s="226">
        <v>4</v>
      </c>
      <c r="L81" s="226">
        <v>2</v>
      </c>
      <c r="M81" s="226">
        <f>C81*10000+D81*1000+E81*100+COUNTIF($C$4:C81,C81)</f>
        <v>14356</v>
      </c>
      <c r="N81" s="226">
        <f>IFERROR(VLOOKUP(B81,[1]STUDENT_UNIQUE_ITEM!$C:$D,2,0),0)</f>
        <v>0</v>
      </c>
      <c r="O81" s="226" t="str">
        <f t="shared" si="2"/>
        <v>STUDENT_NAME_14356</v>
      </c>
      <c r="P81" s="226" t="str">
        <f t="shared" si="3"/>
        <v>STUDENT_IMAGE_14356</v>
      </c>
    </row>
    <row r="82" spans="1:16" ht="13.9" customHeight="1">
      <c r="A82" s="226">
        <f>C82*ID규칙_학생_역할_단위+D82*ID규칙_학생_상세_역할_단위+E82*ID규칙_학생_등급_단위+COUNTIF($C$4:C82,C82)</f>
        <v>11357</v>
      </c>
      <c r="B82" s="227" t="s">
        <v>864</v>
      </c>
      <c r="C82" s="226">
        <v>1</v>
      </c>
      <c r="D82" s="226">
        <v>1</v>
      </c>
      <c r="E82" s="226">
        <v>3</v>
      </c>
      <c r="F82" s="226">
        <v>81</v>
      </c>
      <c r="G82" s="226">
        <v>2</v>
      </c>
      <c r="H82" s="226">
        <v>2</v>
      </c>
      <c r="I82" s="226">
        <v>1</v>
      </c>
      <c r="J82" s="226">
        <v>4</v>
      </c>
      <c r="K82" s="226">
        <v>2</v>
      </c>
      <c r="L82" s="226">
        <v>6</v>
      </c>
      <c r="M82" s="226">
        <f>C82*10000+D82*1000+E82*100+COUNTIF($C$4:C82,C82)</f>
        <v>11357</v>
      </c>
      <c r="N82" s="226">
        <f>IFERROR(VLOOKUP(B82,[1]STUDENT_UNIQUE_ITEM!$C:$D,2,0),0)</f>
        <v>11357</v>
      </c>
      <c r="O82" s="226" t="str">
        <f t="shared" si="2"/>
        <v>STUDENT_NAME_11357</v>
      </c>
      <c r="P82" s="226" t="str">
        <f t="shared" si="3"/>
        <v>STUDENT_IMAGE_11357</v>
      </c>
    </row>
    <row r="83" spans="1:16" ht="13.9" customHeight="1">
      <c r="A83" s="226">
        <f>C83*ID규칙_학생_역할_단위+D83*ID규칙_학생_상세_역할_단위+E83*ID규칙_학생_등급_단위+COUNTIF($C$4:C83,C83)</f>
        <v>14158</v>
      </c>
      <c r="B83" s="227" t="s">
        <v>865</v>
      </c>
      <c r="C83" s="226">
        <v>1</v>
      </c>
      <c r="D83" s="226">
        <v>4</v>
      </c>
      <c r="E83" s="226">
        <v>1</v>
      </c>
      <c r="F83" s="226">
        <v>81</v>
      </c>
      <c r="G83" s="226">
        <v>3</v>
      </c>
      <c r="H83" s="226">
        <v>2</v>
      </c>
      <c r="I83" s="226">
        <v>3</v>
      </c>
      <c r="J83" s="226">
        <v>5</v>
      </c>
      <c r="K83" s="226">
        <v>4</v>
      </c>
      <c r="L83" s="226">
        <v>3</v>
      </c>
      <c r="M83" s="226">
        <f>C83*10000+D83*1000+E83*100+COUNTIF($C$4:C83,C83)</f>
        <v>14158</v>
      </c>
      <c r="N83" s="226">
        <f>IFERROR(VLOOKUP(B83,[1]STUDENT_UNIQUE_ITEM!$C:$D,2,0),0)</f>
        <v>0</v>
      </c>
      <c r="O83" s="226" t="str">
        <f t="shared" si="2"/>
        <v>STUDENT_NAME_14158</v>
      </c>
      <c r="P83" s="226" t="str">
        <f t="shared" si="3"/>
        <v>STUDENT_IMAGE_14158</v>
      </c>
    </row>
    <row r="84" spans="1:16" ht="13.9" customHeight="1">
      <c r="A84" s="226">
        <f>C84*ID규칙_학생_역할_단위+D84*ID규칙_학생_상세_역할_단위+E84*ID규칙_학생_등급_단위+COUNTIF($C$4:C84,C84)</f>
        <v>12359</v>
      </c>
      <c r="B84" s="227" t="s">
        <v>866</v>
      </c>
      <c r="C84" s="226">
        <v>1</v>
      </c>
      <c r="D84" s="226">
        <v>2</v>
      </c>
      <c r="E84" s="226">
        <v>3</v>
      </c>
      <c r="F84" s="226">
        <v>81</v>
      </c>
      <c r="G84" s="226">
        <v>1</v>
      </c>
      <c r="H84" s="226">
        <v>2</v>
      </c>
      <c r="I84" s="226">
        <v>1</v>
      </c>
      <c r="J84" s="226">
        <v>6</v>
      </c>
      <c r="K84" s="226">
        <v>4</v>
      </c>
      <c r="L84" s="226">
        <v>2</v>
      </c>
      <c r="M84" s="226">
        <f>C84*10000+D84*1000+E84*100+COUNTIF($C$4:C84,C84)</f>
        <v>12359</v>
      </c>
      <c r="N84" s="226">
        <f>IFERROR(VLOOKUP(B84,[1]STUDENT_UNIQUE_ITEM!$C:$D,2,0),0)</f>
        <v>0</v>
      </c>
      <c r="O84" s="226" t="str">
        <f t="shared" si="2"/>
        <v>STUDENT_NAME_12359</v>
      </c>
      <c r="P84" s="226" t="str">
        <f t="shared" si="3"/>
        <v>STUDENT_IMAGE_12359</v>
      </c>
    </row>
    <row r="85" spans="1:16" ht="13.9" customHeight="1">
      <c r="A85" s="226">
        <f>C85*ID규칙_학생_역할_단위+D85*ID규칙_학생_상세_역할_단위+E85*ID규칙_학생_등급_단위+COUNTIF($C$4:C85,C85)</f>
        <v>24123</v>
      </c>
      <c r="B85" s="227" t="s">
        <v>867</v>
      </c>
      <c r="C85" s="226">
        <v>2</v>
      </c>
      <c r="D85" s="226">
        <v>4</v>
      </c>
      <c r="E85" s="226">
        <v>1</v>
      </c>
      <c r="F85" s="226">
        <v>81</v>
      </c>
      <c r="G85" s="226">
        <v>3</v>
      </c>
      <c r="H85" s="226">
        <v>1</v>
      </c>
      <c r="I85" s="226">
        <v>3</v>
      </c>
      <c r="J85" s="226">
        <v>4</v>
      </c>
      <c r="K85" s="226">
        <v>4</v>
      </c>
      <c r="L85" s="226">
        <v>4</v>
      </c>
      <c r="M85" s="226">
        <f>C85*10000+D85*1000+E85*100+COUNTIF($C$4:C85,C85)</f>
        <v>24123</v>
      </c>
      <c r="N85" s="226">
        <f>IFERROR(VLOOKUP(B85,[1]STUDENT_UNIQUE_ITEM!$C:$D,2,0),0)</f>
        <v>0</v>
      </c>
      <c r="O85" s="226" t="str">
        <f t="shared" si="2"/>
        <v>STUDENT_NAME_24123</v>
      </c>
      <c r="P85" s="226" t="str">
        <f t="shared" si="3"/>
        <v>STUDENT_IMAGE_24123</v>
      </c>
    </row>
    <row r="86" spans="1:16" ht="13.9" customHeight="1">
      <c r="A86" s="226">
        <f>C86*ID규칙_학생_역할_단위+D86*ID규칙_학생_상세_역할_단위+E86*ID규칙_학생_등급_단위+COUNTIF($C$4:C86,C86)</f>
        <v>11360</v>
      </c>
      <c r="B86" s="227" t="s">
        <v>868</v>
      </c>
      <c r="C86" s="226">
        <v>1</v>
      </c>
      <c r="D86" s="226">
        <v>1</v>
      </c>
      <c r="E86" s="226">
        <v>3</v>
      </c>
      <c r="F86" s="226">
        <v>81</v>
      </c>
      <c r="G86" s="226">
        <v>2</v>
      </c>
      <c r="H86" s="226">
        <v>1</v>
      </c>
      <c r="I86" s="226">
        <v>2</v>
      </c>
      <c r="J86" s="226">
        <v>6</v>
      </c>
      <c r="K86" s="226">
        <v>2</v>
      </c>
      <c r="L86" s="226">
        <v>4</v>
      </c>
      <c r="M86" s="226">
        <f>C86*10000+D86*1000+E86*100+COUNTIF($C$4:C86,C86)</f>
        <v>11360</v>
      </c>
      <c r="N86" s="226">
        <f>IFERROR(VLOOKUP(B86,[1]STUDENT_UNIQUE_ITEM!$C:$D,2,0),0)</f>
        <v>0</v>
      </c>
      <c r="O86" s="226" t="str">
        <f t="shared" si="2"/>
        <v>STUDENT_NAME_11360</v>
      </c>
      <c r="P86" s="226" t="str">
        <f t="shared" si="3"/>
        <v>STUDENT_IMAGE_11360</v>
      </c>
    </row>
    <row r="87" spans="1:16" ht="13.9" customHeight="1">
      <c r="A87" s="226">
        <f>C87*ID규칙_학생_역할_단위+D87*ID규칙_학생_상세_역할_단위+E87*ID규칙_학생_등급_단위+COUNTIF($C$4:C87,C87)</f>
        <v>21324</v>
      </c>
      <c r="B87" s="227" t="s">
        <v>869</v>
      </c>
      <c r="C87" s="226">
        <v>2</v>
      </c>
      <c r="D87" s="226">
        <v>1</v>
      </c>
      <c r="E87" s="226">
        <v>3</v>
      </c>
      <c r="F87" s="226">
        <v>81</v>
      </c>
      <c r="G87" s="226">
        <v>3</v>
      </c>
      <c r="H87" s="226">
        <v>1</v>
      </c>
      <c r="I87" s="226">
        <v>3</v>
      </c>
      <c r="J87" s="226">
        <v>6</v>
      </c>
      <c r="K87" s="226">
        <v>4</v>
      </c>
      <c r="L87" s="226">
        <v>2</v>
      </c>
      <c r="M87" s="226">
        <f>C87*10000+D87*1000+E87*100+COUNTIF($C$4:C87,C87)</f>
        <v>21324</v>
      </c>
      <c r="N87" s="226">
        <f>IFERROR(VLOOKUP(B87,[1]STUDENT_UNIQUE_ITEM!$C:$D,2,0),0)</f>
        <v>0</v>
      </c>
      <c r="O87" s="226" t="str">
        <f t="shared" si="2"/>
        <v>STUDENT_NAME_21324</v>
      </c>
      <c r="P87" s="226" t="str">
        <f t="shared" si="3"/>
        <v>STUDENT_IMAGE_21324</v>
      </c>
    </row>
    <row r="88" spans="1:16" ht="13.9" customHeight="1">
      <c r="A88" s="226">
        <f>C88*ID규칙_학생_역할_단위+D88*ID규칙_학생_상세_역할_단위+E88*ID규칙_학생_등급_단위+COUNTIF($C$4:C88,C88)</f>
        <v>14261</v>
      </c>
      <c r="B88" s="227" t="s">
        <v>870</v>
      </c>
      <c r="C88" s="226">
        <v>1</v>
      </c>
      <c r="D88" s="226">
        <v>4</v>
      </c>
      <c r="E88" s="226">
        <v>2</v>
      </c>
      <c r="F88" s="226">
        <v>81</v>
      </c>
      <c r="G88" s="226">
        <v>2</v>
      </c>
      <c r="H88" s="226">
        <v>1</v>
      </c>
      <c r="I88" s="226">
        <v>3</v>
      </c>
      <c r="J88" s="226">
        <v>6</v>
      </c>
      <c r="K88" s="226">
        <v>3</v>
      </c>
      <c r="L88" s="226">
        <v>3</v>
      </c>
      <c r="M88" s="226">
        <f>C88*10000+D88*1000+E88*100+COUNTIF($C$4:C88,C88)</f>
        <v>14261</v>
      </c>
      <c r="N88" s="226">
        <f>IFERROR(VLOOKUP(B88,[1]STUDENT_UNIQUE_ITEM!$C:$D,2,0),0)</f>
        <v>0</v>
      </c>
      <c r="O88" s="226" t="str">
        <f t="shared" si="2"/>
        <v>STUDENT_NAME_14261</v>
      </c>
      <c r="P88" s="226" t="str">
        <f t="shared" si="3"/>
        <v>STUDENT_IMAGE_14261</v>
      </c>
    </row>
    <row r="89" spans="1:16" ht="13.9" customHeight="1">
      <c r="A89" s="226">
        <f>C89*ID규칙_학생_역할_단위+D89*ID규칙_학생_상세_역할_단위+E89*ID규칙_학생_등급_단위+COUNTIF($C$4:C89,C89)</f>
        <v>11162</v>
      </c>
      <c r="B89" s="227" t="s">
        <v>871</v>
      </c>
      <c r="C89" s="226">
        <v>1</v>
      </c>
      <c r="D89" s="226">
        <v>1</v>
      </c>
      <c r="E89" s="226">
        <v>1</v>
      </c>
      <c r="F89" s="226">
        <v>81</v>
      </c>
      <c r="G89" s="226">
        <v>3</v>
      </c>
      <c r="H89" s="226">
        <v>2</v>
      </c>
      <c r="I89" s="226">
        <v>2</v>
      </c>
      <c r="J89" s="226">
        <v>3</v>
      </c>
      <c r="K89" s="226">
        <v>4</v>
      </c>
      <c r="L89" s="226">
        <v>5</v>
      </c>
      <c r="M89" s="226">
        <f>C89*10000+D89*1000+E89*100+COUNTIF($C$4:C89,C89)</f>
        <v>11162</v>
      </c>
      <c r="N89" s="226">
        <f>IFERROR(VLOOKUP(B89,[1]STUDENT_UNIQUE_ITEM!$C:$D,2,0),0)</f>
        <v>0</v>
      </c>
      <c r="O89" s="226" t="str">
        <f t="shared" si="2"/>
        <v>STUDENT_NAME_11162</v>
      </c>
      <c r="P89" s="226" t="str">
        <f t="shared" si="3"/>
        <v>STUDENT_IMAGE_11162</v>
      </c>
    </row>
    <row r="90" spans="1:16" ht="13.9" customHeight="1">
      <c r="A90" s="226">
        <f>C90*ID규칙_학생_역할_단위+D90*ID규칙_학생_상세_역할_단위+E90*ID규칙_학생_등급_단위+COUNTIF($C$4:C90,C90)</f>
        <v>21325</v>
      </c>
      <c r="B90" s="227" t="s">
        <v>872</v>
      </c>
      <c r="C90" s="226">
        <v>2</v>
      </c>
      <c r="D90" s="226">
        <v>1</v>
      </c>
      <c r="E90" s="226">
        <v>3</v>
      </c>
      <c r="F90" s="226">
        <v>81</v>
      </c>
      <c r="G90" s="226">
        <v>3</v>
      </c>
      <c r="H90" s="226">
        <v>2</v>
      </c>
      <c r="I90" s="226">
        <v>2</v>
      </c>
      <c r="J90" s="226">
        <v>2</v>
      </c>
      <c r="K90" s="226">
        <v>6</v>
      </c>
      <c r="L90" s="226">
        <v>4</v>
      </c>
      <c r="M90" s="226">
        <f>C90*10000+D90*1000+E90*100+COUNTIF($C$4:C90,C90)</f>
        <v>21325</v>
      </c>
      <c r="N90" s="226">
        <f>IFERROR(VLOOKUP(B90,[1]STUDENT_UNIQUE_ITEM!$C:$D,2,0),0)</f>
        <v>0</v>
      </c>
      <c r="O90" s="226" t="str">
        <f t="shared" si="2"/>
        <v>STUDENT_NAME_21325</v>
      </c>
      <c r="P90" s="226" t="str">
        <f t="shared" si="3"/>
        <v>STUDENT_IMAGE_21325</v>
      </c>
    </row>
    <row r="91" spans="1:16" ht="13.9" customHeight="1">
      <c r="A91" s="226">
        <f>C91*ID규칙_학생_역할_단위+D91*ID규칙_학생_상세_역할_단위+E91*ID규칙_학생_등급_단위+COUNTIF($C$4:C91,C91)</f>
        <v>12363</v>
      </c>
      <c r="B91" s="227" t="s">
        <v>873</v>
      </c>
      <c r="C91" s="226">
        <v>1</v>
      </c>
      <c r="D91" s="226">
        <v>2</v>
      </c>
      <c r="E91" s="226">
        <v>3</v>
      </c>
      <c r="F91" s="226">
        <v>81</v>
      </c>
      <c r="G91" s="226">
        <v>1</v>
      </c>
      <c r="H91" s="226">
        <v>2</v>
      </c>
      <c r="I91" s="226">
        <v>2</v>
      </c>
      <c r="J91" s="226">
        <v>2</v>
      </c>
      <c r="K91" s="226">
        <v>6</v>
      </c>
      <c r="L91" s="226">
        <v>4</v>
      </c>
      <c r="M91" s="226">
        <f>C91*10000+D91*1000+E91*100+COUNTIF($C$4:C91,C91)</f>
        <v>12363</v>
      </c>
      <c r="N91" s="226">
        <f>IFERROR(VLOOKUP(B91,[1]STUDENT_UNIQUE_ITEM!$C:$D,2,0),0)</f>
        <v>0</v>
      </c>
      <c r="O91" s="226" t="str">
        <f t="shared" si="2"/>
        <v>STUDENT_NAME_12363</v>
      </c>
      <c r="P91" s="226" t="str">
        <f t="shared" si="3"/>
        <v>STUDENT_IMAGE_12363</v>
      </c>
    </row>
    <row r="92" spans="1:16" ht="13.9" customHeight="1">
      <c r="A92" s="226">
        <f>C92*ID규칙_학생_역할_단위+D92*ID규칙_학생_상세_역할_단위+E92*ID규칙_학생_등급_단위+COUNTIF($C$4:C92,C92)</f>
        <v>21326</v>
      </c>
      <c r="B92" s="227" t="s">
        <v>874</v>
      </c>
      <c r="C92" s="226">
        <v>2</v>
      </c>
      <c r="D92" s="226">
        <v>1</v>
      </c>
      <c r="E92" s="226">
        <v>3</v>
      </c>
      <c r="F92" s="226">
        <v>81</v>
      </c>
      <c r="G92" s="226">
        <v>3</v>
      </c>
      <c r="H92" s="226">
        <v>2</v>
      </c>
      <c r="I92" s="226">
        <v>3</v>
      </c>
      <c r="J92" s="226">
        <v>2</v>
      </c>
      <c r="K92" s="226">
        <v>6</v>
      </c>
      <c r="L92" s="226">
        <v>4</v>
      </c>
      <c r="M92" s="226">
        <f>C92*10000+D92*1000+E92*100+COUNTIF($C$4:C92,C92)</f>
        <v>21326</v>
      </c>
      <c r="N92" s="226">
        <f>IFERROR(VLOOKUP(B92,[1]STUDENT_UNIQUE_ITEM!$C:$D,2,0),0)</f>
        <v>0</v>
      </c>
      <c r="O92" s="226" t="str">
        <f t="shared" si="2"/>
        <v>STUDENT_NAME_21326</v>
      </c>
      <c r="P92" s="226" t="str">
        <f t="shared" si="3"/>
        <v>STUDENT_IMAGE_21326</v>
      </c>
    </row>
    <row r="93" spans="1:16" ht="13.9" customHeight="1">
      <c r="A93" s="226">
        <f>C93*ID규칙_학생_역할_단위+D93*ID규칙_학생_상세_역할_단위+E93*ID규칙_학생_등급_단위+COUNTIF($C$4:C93,C93)</f>
        <v>21327</v>
      </c>
      <c r="B93" s="227" t="s">
        <v>875</v>
      </c>
      <c r="C93" s="226">
        <v>2</v>
      </c>
      <c r="D93" s="226">
        <v>1</v>
      </c>
      <c r="E93" s="226">
        <v>3</v>
      </c>
      <c r="F93" s="226">
        <v>81</v>
      </c>
      <c r="G93" s="226">
        <v>3</v>
      </c>
      <c r="H93" s="226">
        <v>2</v>
      </c>
      <c r="I93" s="226">
        <v>1</v>
      </c>
      <c r="J93" s="226">
        <v>6</v>
      </c>
      <c r="K93" s="226">
        <v>4</v>
      </c>
      <c r="L93" s="226">
        <v>2</v>
      </c>
      <c r="M93" s="226">
        <f>C93*10000+D93*1000+E93*100+COUNTIF($C$4:C93,C93)</f>
        <v>21327</v>
      </c>
      <c r="N93" s="226">
        <f>IFERROR(VLOOKUP(B93,[1]STUDENT_UNIQUE_ITEM!$C:$D,2,0),0)</f>
        <v>0</v>
      </c>
      <c r="O93" s="226" t="str">
        <f t="shared" si="2"/>
        <v>STUDENT_NAME_21327</v>
      </c>
      <c r="P93" s="226" t="str">
        <f t="shared" si="3"/>
        <v>STUDENT_IMAGE_21327</v>
      </c>
    </row>
    <row r="94" spans="1:16" ht="13.9" customHeight="1">
      <c r="A94" s="226">
        <f>C94*ID규칙_학생_역할_단위+D94*ID규칙_학생_상세_역할_단위+E94*ID규칙_학생_등급_단위+COUNTIF($C$4:C94,C94)</f>
        <v>24328</v>
      </c>
      <c r="B94" s="227" t="s">
        <v>876</v>
      </c>
      <c r="C94" s="226">
        <v>2</v>
      </c>
      <c r="D94" s="226">
        <v>4</v>
      </c>
      <c r="E94" s="226">
        <v>3</v>
      </c>
      <c r="F94" s="226">
        <v>81</v>
      </c>
      <c r="G94" s="226">
        <v>3</v>
      </c>
      <c r="H94" s="226">
        <v>2</v>
      </c>
      <c r="I94" s="226">
        <v>1</v>
      </c>
      <c r="J94" s="226">
        <v>2</v>
      </c>
      <c r="K94" s="226">
        <v>4</v>
      </c>
      <c r="L94" s="226">
        <v>6</v>
      </c>
      <c r="M94" s="226">
        <f>C94*10000+D94*1000+E94*100+COUNTIF($C$4:C94,C94)</f>
        <v>24328</v>
      </c>
      <c r="N94" s="226">
        <f>IFERROR(VLOOKUP(B94,[1]STUDENT_UNIQUE_ITEM!$C:$D,2,0),0)</f>
        <v>0</v>
      </c>
      <c r="O94" s="226" t="str">
        <f t="shared" si="2"/>
        <v>STUDENT_NAME_24328</v>
      </c>
      <c r="P94" s="226" t="str">
        <f t="shared" si="3"/>
        <v>STUDENT_IMAGE_24328</v>
      </c>
    </row>
    <row r="95" spans="1:16" ht="13.9" customHeight="1">
      <c r="A95" s="226">
        <f>C95*ID규칙_학생_역할_단위+D95*ID규칙_학생_상세_역할_단위+E95*ID규칙_학생_등급_단위+COUNTIF($C$4:C95,C95)</f>
        <v>11364</v>
      </c>
      <c r="B95" s="227" t="s">
        <v>877</v>
      </c>
      <c r="C95" s="226">
        <v>1</v>
      </c>
      <c r="D95" s="226">
        <v>1</v>
      </c>
      <c r="E95" s="226">
        <v>3</v>
      </c>
      <c r="F95" s="226">
        <v>81</v>
      </c>
      <c r="G95" s="226">
        <v>2</v>
      </c>
      <c r="H95" s="226">
        <v>1</v>
      </c>
      <c r="I95" s="226">
        <v>3</v>
      </c>
      <c r="J95" s="226">
        <v>4</v>
      </c>
      <c r="K95" s="226">
        <v>6</v>
      </c>
      <c r="L95" s="226">
        <v>2</v>
      </c>
      <c r="M95" s="226">
        <f>C95*10000+D95*1000+E95*100+COUNTIF($C$4:C95,C95)</f>
        <v>11364</v>
      </c>
      <c r="N95" s="226">
        <f>IFERROR(VLOOKUP(B95,[1]STUDENT_UNIQUE_ITEM!$C:$D,2,0),0)</f>
        <v>0</v>
      </c>
      <c r="O95" s="226" t="str">
        <f t="shared" si="2"/>
        <v>STUDENT_NAME_11364</v>
      </c>
      <c r="P95" s="226" t="str">
        <f t="shared" si="3"/>
        <v>STUDENT_IMAGE_11364</v>
      </c>
    </row>
    <row r="96" spans="1:16" ht="13.9" customHeight="1">
      <c r="A96" s="226">
        <f>C96*ID규칙_학생_역할_단위+D96*ID규칙_학생_상세_역할_단위+E96*ID규칙_학생_등급_단위+COUNTIF($C$4:C96,C96)</f>
        <v>12365</v>
      </c>
      <c r="B96" s="227" t="s">
        <v>878</v>
      </c>
      <c r="C96" s="226">
        <v>1</v>
      </c>
      <c r="D96" s="226">
        <v>2</v>
      </c>
      <c r="E96" s="226">
        <v>3</v>
      </c>
      <c r="F96" s="226">
        <v>81</v>
      </c>
      <c r="G96" s="226">
        <v>1</v>
      </c>
      <c r="H96" s="226">
        <v>1</v>
      </c>
      <c r="I96" s="226">
        <v>3</v>
      </c>
      <c r="J96" s="226">
        <v>4</v>
      </c>
      <c r="K96" s="226">
        <v>6</v>
      </c>
      <c r="L96" s="226">
        <v>2</v>
      </c>
      <c r="M96" s="226">
        <f>C96*10000+D96*1000+E96*100+COUNTIF($C$4:C96,C96)</f>
        <v>12365</v>
      </c>
      <c r="N96" s="226">
        <f>IFERROR(VLOOKUP(B96,[1]STUDENT_UNIQUE_ITEM!$C:$D,2,0),0)</f>
        <v>0</v>
      </c>
      <c r="O96" s="226" t="str">
        <f t="shared" si="2"/>
        <v>STUDENT_NAME_12365</v>
      </c>
      <c r="P96" s="226" t="str">
        <f t="shared" si="3"/>
        <v>STUDENT_IMAGE_12365</v>
      </c>
    </row>
    <row r="97" spans="1:16" ht="13.9" customHeight="1">
      <c r="A97" s="226">
        <f>C97*ID규칙_학생_역할_단위+D97*ID규칙_학생_상세_역할_단위+E97*ID규칙_학생_등급_단위+COUNTIF($C$4:C97,C97)</f>
        <v>11366</v>
      </c>
      <c r="B97" s="227" t="s">
        <v>879</v>
      </c>
      <c r="C97" s="226">
        <v>1</v>
      </c>
      <c r="D97" s="226">
        <v>1</v>
      </c>
      <c r="E97" s="226">
        <v>3</v>
      </c>
      <c r="F97" s="226">
        <v>81</v>
      </c>
      <c r="G97" s="226">
        <v>3</v>
      </c>
      <c r="H97" s="226">
        <v>1</v>
      </c>
      <c r="I97" s="226">
        <v>3</v>
      </c>
      <c r="J97" s="226">
        <v>4</v>
      </c>
      <c r="K97" s="226">
        <v>6</v>
      </c>
      <c r="L97" s="226">
        <v>2</v>
      </c>
      <c r="M97" s="226">
        <f>C97*10000+D97*1000+E97*100+COUNTIF($C$4:C97,C97)</f>
        <v>11366</v>
      </c>
      <c r="N97" s="226">
        <f>IFERROR(VLOOKUP(B97,[1]STUDENT_UNIQUE_ITEM!$C:$D,2,0),0)</f>
        <v>0</v>
      </c>
      <c r="O97" s="226" t="str">
        <f t="shared" si="2"/>
        <v>STUDENT_NAME_11366</v>
      </c>
      <c r="P97" s="226" t="str">
        <f t="shared" si="3"/>
        <v>STUDENT_IMAGE_11366</v>
      </c>
    </row>
    <row r="98" spans="1:16" ht="13.9" customHeight="1">
      <c r="A98" s="226">
        <f>C98*ID규칙_학생_역할_단위+D98*ID규칙_학생_상세_역할_단위+E98*ID규칙_학생_등급_단위+COUNTIF($C$4:C98,C98)</f>
        <v>24329</v>
      </c>
      <c r="B98" s="227" t="s">
        <v>880</v>
      </c>
      <c r="C98" s="226">
        <v>2</v>
      </c>
      <c r="D98" s="226">
        <v>4</v>
      </c>
      <c r="E98" s="226">
        <v>3</v>
      </c>
      <c r="F98" s="226">
        <v>81</v>
      </c>
      <c r="G98" s="226">
        <v>3</v>
      </c>
      <c r="H98" s="226">
        <v>1</v>
      </c>
      <c r="I98" s="226">
        <v>1</v>
      </c>
      <c r="J98" s="226">
        <v>4</v>
      </c>
      <c r="K98" s="226">
        <v>6</v>
      </c>
      <c r="L98" s="226">
        <v>2</v>
      </c>
      <c r="M98" s="226">
        <f>C98*10000+D98*1000+E98*100+COUNTIF($C$4:C98,C98)</f>
        <v>24329</v>
      </c>
      <c r="N98" s="226">
        <f>IFERROR(VLOOKUP(B98,[1]STUDENT_UNIQUE_ITEM!$C:$D,2,0),0)</f>
        <v>0</v>
      </c>
      <c r="O98" s="226" t="str">
        <f t="shared" si="2"/>
        <v>STUDENT_NAME_24329</v>
      </c>
      <c r="P98" s="226" t="str">
        <f t="shared" si="3"/>
        <v>STUDENT_IMAGE_24329</v>
      </c>
    </row>
    <row r="99" spans="1:16" ht="13.9" customHeight="1">
      <c r="A99" s="226">
        <f>C99*ID규칙_학생_역할_단위+D99*ID규칙_학생_상세_역할_단위+E99*ID규칙_학생_등급_단위+COUNTIF($C$4:C99,C99)</f>
        <v>24330</v>
      </c>
      <c r="B99" s="227" t="s">
        <v>881</v>
      </c>
      <c r="C99" s="226">
        <v>2</v>
      </c>
      <c r="D99" s="226">
        <v>4</v>
      </c>
      <c r="E99" s="226">
        <v>3</v>
      </c>
      <c r="F99" s="226">
        <v>81</v>
      </c>
      <c r="G99" s="226">
        <v>3</v>
      </c>
      <c r="H99" s="226">
        <v>1</v>
      </c>
      <c r="I99" s="226">
        <v>1</v>
      </c>
      <c r="J99" s="226">
        <v>2</v>
      </c>
      <c r="K99" s="226">
        <v>6</v>
      </c>
      <c r="L99" s="226">
        <v>4</v>
      </c>
      <c r="M99" s="226">
        <f>C99*10000+D99*1000+E99*100+COUNTIF($C$4:C99,C99)</f>
        <v>24330</v>
      </c>
      <c r="N99" s="226">
        <f>IFERROR(VLOOKUP(B99,[1]STUDENT_UNIQUE_ITEM!$C:$D,2,0),0)</f>
        <v>0</v>
      </c>
      <c r="O99" s="226" t="str">
        <f t="shared" si="2"/>
        <v>STUDENT_NAME_24330</v>
      </c>
      <c r="P99" s="226" t="str">
        <f t="shared" si="3"/>
        <v>STUDENT_IMAGE_24330</v>
      </c>
    </row>
  </sheetData>
  <phoneticPr fontId="1" type="noConversion"/>
  <conditionalFormatting sqref="A4:A99">
    <cfRule type="duplicateValues" dxfId="0" priority="1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5</vt:i4>
      </vt:variant>
    </vt:vector>
  </HeadingPairs>
  <TitlesOfParts>
    <vt:vector size="14" baseType="lpstr">
      <vt:lpstr>ID 카드 커스텀 대회</vt:lpstr>
      <vt:lpstr>COMMON</vt:lpstr>
      <vt:lpstr>SEASON</vt:lpstr>
      <vt:lpstr>RANK_REWARD</vt:lpstr>
      <vt:lpstr>VOTE_REWARD</vt:lpstr>
      <vt:lpstr>RESOURCE_LIST</vt:lpstr>
      <vt:lpstr>STRING</vt:lpstr>
      <vt:lpstr>ITEM</vt:lpstr>
      <vt:lpstr>STUDENT</vt:lpstr>
      <vt:lpstr>링크_ITEM</vt:lpstr>
      <vt:lpstr>링크_SEASON</vt:lpstr>
      <vt:lpstr>링크_STUDENT</vt:lpstr>
      <vt:lpstr>링크_리소스_UI</vt:lpstr>
      <vt:lpstr>링크_투표달성보상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seyeon park</dc:creator>
  <cp:lastModifiedBy>seyeon park</cp:lastModifiedBy>
  <dcterms:created xsi:type="dcterms:W3CDTF">2023-08-07T16:28:06Z</dcterms:created>
  <dcterms:modified xsi:type="dcterms:W3CDTF">2026-03-06T00:51:10Z</dcterms:modified>
</cp:coreProperties>
</file>